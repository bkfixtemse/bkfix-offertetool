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K Fix\OneDrive - BKfix bkfix.be\4- bestel documenten\Allround\"/>
    </mc:Choice>
  </mc:AlternateContent>
  <xr:revisionPtr revIDLastSave="0" documentId="8_{E3791CB3-9F26-48FF-95DC-8156CF8B44F8}" xr6:coauthVersionLast="47" xr6:coauthVersionMax="47" xr10:uidLastSave="{00000000-0000-0000-0000-000000000000}"/>
  <workbookProtection workbookPassword="CEC7" lockStructure="1"/>
  <bookViews>
    <workbookView xWindow="28680" yWindow="-120" windowWidth="29040" windowHeight="15720" xr2:uid="{00000000-000D-0000-FFFF-FFFF00000000}"/>
  </bookViews>
  <sheets>
    <sheet name="InvoerRolluik" sheetId="1" r:id="rId1"/>
    <sheet name="Bron" sheetId="2" state="hidden" r:id="rId2"/>
    <sheet name="kastmaat" sheetId="3" state="hidden" r:id="rId3"/>
    <sheet name="geleiders" sheetId="4" state="hidden" r:id="rId4"/>
    <sheet name="Pantser" sheetId="5" state="hidden" r:id="rId5"/>
    <sheet name="kastvorm" sheetId="6" state="hidden" r:id="rId6"/>
  </sheets>
  <definedNames>
    <definedName name="_xlnm.Print_Area" localSheetId="0">InvoerRolluik!$A$1:$I$57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1" l="1"/>
  <c r="L1" i="6"/>
  <c r="K1" i="6"/>
  <c r="J1" i="6"/>
  <c r="I1" i="6"/>
  <c r="H1" i="6"/>
  <c r="G1" i="6"/>
  <c r="F1" i="6"/>
  <c r="L1" i="5"/>
  <c r="K1" i="5"/>
  <c r="J1" i="5"/>
  <c r="I1" i="5"/>
  <c r="H1" i="5"/>
  <c r="G1" i="5"/>
  <c r="F1" i="5"/>
  <c r="L1" i="4"/>
  <c r="K1" i="4"/>
  <c r="J1" i="4"/>
  <c r="I1" i="4"/>
  <c r="H1" i="4"/>
  <c r="G1" i="4"/>
  <c r="F1" i="4"/>
  <c r="F1" i="3"/>
  <c r="L1" i="3"/>
  <c r="K1" i="3"/>
  <c r="J1" i="3"/>
  <c r="I1" i="3"/>
  <c r="H1" i="3"/>
  <c r="G1" i="3"/>
  <c r="A5" i="6" l="1"/>
  <c r="D14" i="5"/>
  <c r="D4" i="6"/>
  <c r="D8" i="6"/>
  <c r="D12" i="6"/>
  <c r="D16" i="6"/>
  <c r="D20" i="6"/>
  <c r="D24" i="6"/>
  <c r="D28" i="6"/>
  <c r="D3" i="6"/>
  <c r="C7" i="6"/>
  <c r="C11" i="6"/>
  <c r="C15" i="6"/>
  <c r="C19" i="6"/>
  <c r="C23" i="6"/>
  <c r="C27" i="6"/>
  <c r="C3" i="6"/>
  <c r="D10" i="6"/>
  <c r="D18" i="6"/>
  <c r="D26" i="6"/>
  <c r="C5" i="6"/>
  <c r="C9" i="6"/>
  <c r="C17" i="6"/>
  <c r="C25" i="6"/>
  <c r="D11" i="6"/>
  <c r="D19" i="6"/>
  <c r="D27" i="6"/>
  <c r="C6" i="6"/>
  <c r="C14" i="6"/>
  <c r="C18" i="6"/>
  <c r="C26" i="6"/>
  <c r="D5" i="6"/>
  <c r="D9" i="6"/>
  <c r="D13" i="6"/>
  <c r="D17" i="6"/>
  <c r="D21" i="6"/>
  <c r="D25" i="6"/>
  <c r="D29" i="6"/>
  <c r="C4" i="6"/>
  <c r="C8" i="6"/>
  <c r="C12" i="6"/>
  <c r="C16" i="6"/>
  <c r="C20" i="6"/>
  <c r="C24" i="6"/>
  <c r="C28" i="6"/>
  <c r="D6" i="6"/>
  <c r="D14" i="6"/>
  <c r="D22" i="6"/>
  <c r="D30" i="6"/>
  <c r="C13" i="6"/>
  <c r="C21" i="6"/>
  <c r="C29" i="6"/>
  <c r="D7" i="6"/>
  <c r="D15" i="6"/>
  <c r="D23" i="6"/>
  <c r="D31" i="6"/>
  <c r="C10" i="6"/>
  <c r="C22" i="6"/>
  <c r="C30" i="6"/>
  <c r="A27" i="6"/>
  <c r="A15" i="6"/>
  <c r="A7" i="6"/>
  <c r="E4" i="6"/>
  <c r="E8" i="6"/>
  <c r="E12" i="6"/>
  <c r="E16" i="6"/>
  <c r="E20" i="6"/>
  <c r="E24" i="6"/>
  <c r="E28" i="6"/>
  <c r="E6" i="6"/>
  <c r="E14" i="6"/>
  <c r="E22" i="6"/>
  <c r="E30" i="6"/>
  <c r="E7" i="6"/>
  <c r="E15" i="6"/>
  <c r="E23" i="6"/>
  <c r="E3" i="6"/>
  <c r="E5" i="6"/>
  <c r="E9" i="6"/>
  <c r="E13" i="6"/>
  <c r="E17" i="6"/>
  <c r="E21" i="6"/>
  <c r="E25" i="6"/>
  <c r="E29" i="6"/>
  <c r="E10" i="6"/>
  <c r="E18" i="6"/>
  <c r="E26" i="6"/>
  <c r="E11" i="6"/>
  <c r="E19" i="6"/>
  <c r="E27" i="6"/>
  <c r="A26" i="6"/>
  <c r="A22" i="6"/>
  <c r="A10" i="6"/>
  <c r="A6" i="6"/>
  <c r="A29" i="6"/>
  <c r="A25" i="6"/>
  <c r="A21" i="6"/>
  <c r="A17" i="6"/>
  <c r="A13" i="6"/>
  <c r="A9" i="6"/>
  <c r="A3" i="6"/>
  <c r="A23" i="6"/>
  <c r="A19" i="6"/>
  <c r="A11" i="6"/>
  <c r="A30" i="6"/>
  <c r="A18" i="6"/>
  <c r="A14" i="6"/>
  <c r="D6" i="5"/>
  <c r="B7" i="6"/>
  <c r="B11" i="6"/>
  <c r="B15" i="6"/>
  <c r="B19" i="6"/>
  <c r="B23" i="6"/>
  <c r="B27" i="6"/>
  <c r="B3" i="6"/>
  <c r="B5" i="6"/>
  <c r="B9" i="6"/>
  <c r="B21" i="6"/>
  <c r="B29" i="6"/>
  <c r="B6" i="6"/>
  <c r="B14" i="6"/>
  <c r="B22" i="6"/>
  <c r="B30" i="6"/>
  <c r="B4" i="6"/>
  <c r="B8" i="6"/>
  <c r="B12" i="6"/>
  <c r="B16" i="6"/>
  <c r="B20" i="6"/>
  <c r="B24" i="6"/>
  <c r="B28" i="6"/>
  <c r="B13" i="6"/>
  <c r="B17" i="6"/>
  <c r="B25" i="6"/>
  <c r="B10" i="6"/>
  <c r="B18" i="6"/>
  <c r="B26" i="6"/>
  <c r="A36" i="6"/>
  <c r="A28" i="6"/>
  <c r="A24" i="6"/>
  <c r="A20" i="6"/>
  <c r="A16" i="6"/>
  <c r="A12" i="6"/>
  <c r="A8" i="6"/>
  <c r="A4" i="6"/>
  <c r="D22" i="5"/>
  <c r="E22" i="5"/>
  <c r="D7" i="5"/>
  <c r="D15" i="5"/>
  <c r="D23" i="5"/>
  <c r="A30" i="5"/>
  <c r="D10" i="5"/>
  <c r="D18" i="5"/>
  <c r="A36" i="5"/>
  <c r="D3" i="5"/>
  <c r="D11" i="5"/>
  <c r="D19" i="5"/>
  <c r="D27" i="5"/>
  <c r="B4" i="5"/>
  <c r="A5" i="5"/>
  <c r="E5" i="5"/>
  <c r="C7" i="5"/>
  <c r="B12" i="5"/>
  <c r="E13" i="5"/>
  <c r="C15" i="5"/>
  <c r="A17" i="5"/>
  <c r="B20" i="5"/>
  <c r="E21" i="5"/>
  <c r="C23" i="5"/>
  <c r="A25" i="5"/>
  <c r="E25" i="5"/>
  <c r="C27" i="5"/>
  <c r="A29" i="5"/>
  <c r="C4" i="5"/>
  <c r="B9" i="5"/>
  <c r="A10" i="5"/>
  <c r="E10" i="5"/>
  <c r="C12" i="5"/>
  <c r="A14" i="5"/>
  <c r="E14" i="5"/>
  <c r="C16" i="5"/>
  <c r="A18" i="5"/>
  <c r="E18" i="5"/>
  <c r="B21" i="5"/>
  <c r="C24" i="5"/>
  <c r="B25" i="5"/>
  <c r="A26" i="5"/>
  <c r="E26" i="5"/>
  <c r="A3" i="5"/>
  <c r="E3" i="5"/>
  <c r="D4" i="5"/>
  <c r="C5" i="5"/>
  <c r="B6" i="5"/>
  <c r="A7" i="5"/>
  <c r="E7" i="5"/>
  <c r="D8" i="5"/>
  <c r="C9" i="5"/>
  <c r="B10" i="5"/>
  <c r="A11" i="5"/>
  <c r="E11" i="5"/>
  <c r="D12" i="5"/>
  <c r="C13" i="5"/>
  <c r="B14" i="5"/>
  <c r="A15" i="5"/>
  <c r="E15" i="5"/>
  <c r="D16" i="5"/>
  <c r="C17" i="5"/>
  <c r="B18" i="5"/>
  <c r="A19" i="5"/>
  <c r="E19" i="5"/>
  <c r="D20" i="5"/>
  <c r="C21" i="5"/>
  <c r="B22" i="5"/>
  <c r="A23" i="5"/>
  <c r="E23" i="5"/>
  <c r="D24" i="5"/>
  <c r="C25" i="5"/>
  <c r="B26" i="5"/>
  <c r="A27" i="5"/>
  <c r="A28" i="5"/>
  <c r="C3" i="5"/>
  <c r="B8" i="5"/>
  <c r="A9" i="5"/>
  <c r="E9" i="5"/>
  <c r="C11" i="5"/>
  <c r="A13" i="5"/>
  <c r="B16" i="5"/>
  <c r="E17" i="5"/>
  <c r="C19" i="5"/>
  <c r="A21" i="5"/>
  <c r="B24" i="5"/>
  <c r="B5" i="5"/>
  <c r="A6" i="5"/>
  <c r="E6" i="5"/>
  <c r="C8" i="5"/>
  <c r="B13" i="5"/>
  <c r="B17" i="5"/>
  <c r="C20" i="5"/>
  <c r="A22" i="5"/>
  <c r="B3" i="5"/>
  <c r="A4" i="5"/>
  <c r="E4" i="5"/>
  <c r="D5" i="5"/>
  <c r="C6" i="5"/>
  <c r="B7" i="5"/>
  <c r="A8" i="5"/>
  <c r="E8" i="5"/>
  <c r="D9" i="5"/>
  <c r="C10" i="5"/>
  <c r="B11" i="5"/>
  <c r="A12" i="5"/>
  <c r="E12" i="5"/>
  <c r="D13" i="5"/>
  <c r="C14" i="5"/>
  <c r="B15" i="5"/>
  <c r="A16" i="5"/>
  <c r="E16" i="5"/>
  <c r="D17" i="5"/>
  <c r="C18" i="5"/>
  <c r="B19" i="5"/>
  <c r="A20" i="5"/>
  <c r="E20" i="5"/>
  <c r="D21" i="5"/>
  <c r="C22" i="5"/>
  <c r="B23" i="5"/>
  <c r="A24" i="5"/>
  <c r="E24" i="5"/>
  <c r="D25" i="5"/>
  <c r="C26" i="5"/>
  <c r="B27" i="5"/>
  <c r="C28" i="5"/>
  <c r="A6" i="3"/>
  <c r="E52" i="4"/>
  <c r="B3" i="4"/>
  <c r="C3" i="4"/>
  <c r="D3" i="4"/>
  <c r="E3" i="4"/>
  <c r="D4" i="4"/>
  <c r="A7" i="4"/>
  <c r="C9" i="4"/>
  <c r="E11" i="4"/>
  <c r="B14" i="4"/>
  <c r="D16" i="4"/>
  <c r="E19" i="4"/>
  <c r="B22" i="4"/>
  <c r="D24" i="4"/>
  <c r="A27" i="4"/>
  <c r="C29" i="4"/>
  <c r="E31" i="4"/>
  <c r="B34" i="4"/>
  <c r="D36" i="4"/>
  <c r="D38" i="4"/>
  <c r="E49" i="4"/>
  <c r="A4" i="4"/>
  <c r="E4" i="4"/>
  <c r="D5" i="4"/>
  <c r="C6" i="4"/>
  <c r="B7" i="4"/>
  <c r="A8" i="4"/>
  <c r="E8" i="4"/>
  <c r="D9" i="4"/>
  <c r="C10" i="4"/>
  <c r="B11" i="4"/>
  <c r="A12" i="4"/>
  <c r="E12" i="4"/>
  <c r="D13" i="4"/>
  <c r="C14" i="4"/>
  <c r="B15" i="4"/>
  <c r="A16" i="4"/>
  <c r="E16" i="4"/>
  <c r="D17" i="4"/>
  <c r="C18" i="4"/>
  <c r="B19" i="4"/>
  <c r="A20" i="4"/>
  <c r="E20" i="4"/>
  <c r="D21" i="4"/>
  <c r="C22" i="4"/>
  <c r="B23" i="4"/>
  <c r="A24" i="4"/>
  <c r="E24" i="4"/>
  <c r="D25" i="4"/>
  <c r="C26" i="4"/>
  <c r="B27" i="4"/>
  <c r="A28" i="4"/>
  <c r="E28" i="4"/>
  <c r="D29" i="4"/>
  <c r="C30" i="4"/>
  <c r="B31" i="4"/>
  <c r="A32" i="4"/>
  <c r="E32" i="4"/>
  <c r="D33" i="4"/>
  <c r="C34" i="4"/>
  <c r="B35" i="4"/>
  <c r="A36" i="4"/>
  <c r="E36" i="4"/>
  <c r="E37" i="4"/>
  <c r="E38" i="4"/>
  <c r="E42" i="4"/>
  <c r="E46" i="4"/>
  <c r="E50" i="4"/>
  <c r="B6" i="4"/>
  <c r="D8" i="4"/>
  <c r="A11" i="4"/>
  <c r="C13" i="4"/>
  <c r="E15" i="4"/>
  <c r="B18" i="4"/>
  <c r="D20" i="4"/>
  <c r="A23" i="4"/>
  <c r="C25" i="4"/>
  <c r="E27" i="4"/>
  <c r="B30" i="4"/>
  <c r="D32" i="4"/>
  <c r="E35" i="4"/>
  <c r="E45" i="4"/>
  <c r="B4" i="4"/>
  <c r="A5" i="4"/>
  <c r="E5" i="4"/>
  <c r="D6" i="4"/>
  <c r="C7" i="4"/>
  <c r="B8" i="4"/>
  <c r="A9" i="4"/>
  <c r="E9" i="4"/>
  <c r="D10" i="4"/>
  <c r="C11" i="4"/>
  <c r="B12" i="4"/>
  <c r="A13" i="4"/>
  <c r="E13" i="4"/>
  <c r="D14" i="4"/>
  <c r="C15" i="4"/>
  <c r="B16" i="4"/>
  <c r="A17" i="4"/>
  <c r="E17" i="4"/>
  <c r="D18" i="4"/>
  <c r="C19" i="4"/>
  <c r="B20" i="4"/>
  <c r="A21" i="4"/>
  <c r="E21" i="4"/>
  <c r="D22" i="4"/>
  <c r="C23" i="4"/>
  <c r="B24" i="4"/>
  <c r="A25" i="4"/>
  <c r="E25" i="4"/>
  <c r="D26" i="4"/>
  <c r="C27" i="4"/>
  <c r="B28" i="4"/>
  <c r="A29" i="4"/>
  <c r="E29" i="4"/>
  <c r="D30" i="4"/>
  <c r="C31" i="4"/>
  <c r="B32" i="4"/>
  <c r="A33" i="4"/>
  <c r="E33" i="4"/>
  <c r="D34" i="4"/>
  <c r="C35" i="4"/>
  <c r="B36" i="4"/>
  <c r="B37" i="4"/>
  <c r="B38" i="4"/>
  <c r="E39" i="4"/>
  <c r="E43" i="4"/>
  <c r="E47" i="4"/>
  <c r="E51" i="4"/>
  <c r="A3" i="4"/>
  <c r="C5" i="4"/>
  <c r="E7" i="4"/>
  <c r="B10" i="4"/>
  <c r="D12" i="4"/>
  <c r="A15" i="4"/>
  <c r="C17" i="4"/>
  <c r="A19" i="4"/>
  <c r="C21" i="4"/>
  <c r="E23" i="4"/>
  <c r="B26" i="4"/>
  <c r="D28" i="4"/>
  <c r="A31" i="4"/>
  <c r="C33" i="4"/>
  <c r="A35" i="4"/>
  <c r="D37" i="4"/>
  <c r="E41" i="4"/>
  <c r="C4" i="4"/>
  <c r="B5" i="4"/>
  <c r="A6" i="4"/>
  <c r="E6" i="4"/>
  <c r="D7" i="4"/>
  <c r="C8" i="4"/>
  <c r="B9" i="4"/>
  <c r="A10" i="4"/>
  <c r="E10" i="4"/>
  <c r="D11" i="4"/>
  <c r="C12" i="4"/>
  <c r="B13" i="4"/>
  <c r="A14" i="4"/>
  <c r="E14" i="4"/>
  <c r="D15" i="4"/>
  <c r="C16" i="4"/>
  <c r="B17" i="4"/>
  <c r="A18" i="4"/>
  <c r="E18" i="4"/>
  <c r="D19" i="4"/>
  <c r="C20" i="4"/>
  <c r="B21" i="4"/>
  <c r="A22" i="4"/>
  <c r="E22" i="4"/>
  <c r="D23" i="4"/>
  <c r="C24" i="4"/>
  <c r="B25" i="4"/>
  <c r="A26" i="4"/>
  <c r="E26" i="4"/>
  <c r="D27" i="4"/>
  <c r="C28" i="4"/>
  <c r="B29" i="4"/>
  <c r="A30" i="4"/>
  <c r="E30" i="4"/>
  <c r="D31" i="4"/>
  <c r="C32" i="4"/>
  <c r="B33" i="4"/>
  <c r="A34" i="4"/>
  <c r="E34" i="4"/>
  <c r="D35" i="4"/>
  <c r="C36" i="4"/>
  <c r="C37" i="4"/>
  <c r="C38" i="4"/>
  <c r="E40" i="4"/>
  <c r="E44" i="4"/>
  <c r="E48" i="4"/>
  <c r="A21" i="3"/>
  <c r="B3" i="3"/>
  <c r="B19" i="3"/>
  <c r="B11" i="3"/>
  <c r="C3" i="3"/>
  <c r="C23" i="3"/>
  <c r="C15" i="3"/>
  <c r="C7" i="3"/>
  <c r="D27" i="3"/>
  <c r="D15" i="3"/>
  <c r="D7" i="3"/>
  <c r="E27" i="3"/>
  <c r="E19" i="3"/>
  <c r="E11" i="3"/>
  <c r="A10" i="3"/>
  <c r="B26" i="3"/>
  <c r="B18" i="3"/>
  <c r="B10" i="3"/>
  <c r="C26" i="3"/>
  <c r="C18" i="3"/>
  <c r="C10" i="3"/>
  <c r="D30" i="3"/>
  <c r="D22" i="3"/>
  <c r="D14" i="3"/>
  <c r="D6" i="3"/>
  <c r="E26" i="3"/>
  <c r="E18" i="3"/>
  <c r="E6" i="3"/>
  <c r="A14" i="3"/>
  <c r="B29" i="3"/>
  <c r="B25" i="3"/>
  <c r="B21" i="3"/>
  <c r="B17" i="3"/>
  <c r="B13" i="3"/>
  <c r="B9" i="3"/>
  <c r="B5" i="3"/>
  <c r="C29" i="3"/>
  <c r="C25" i="3"/>
  <c r="C21" i="3"/>
  <c r="C17" i="3"/>
  <c r="C13" i="3"/>
  <c r="C9" i="3"/>
  <c r="C5" i="3"/>
  <c r="D29" i="3"/>
  <c r="D25" i="3"/>
  <c r="D21" i="3"/>
  <c r="D17" i="3"/>
  <c r="D13" i="3"/>
  <c r="D9" i="3"/>
  <c r="D5" i="3"/>
  <c r="E29" i="3"/>
  <c r="E25" i="3"/>
  <c r="E21" i="3"/>
  <c r="E17" i="3"/>
  <c r="E13" i="3"/>
  <c r="E9" i="3"/>
  <c r="E5" i="3"/>
  <c r="B27" i="3"/>
  <c r="B23" i="3"/>
  <c r="B15" i="3"/>
  <c r="B7" i="3"/>
  <c r="C27" i="3"/>
  <c r="C19" i="3"/>
  <c r="C11" i="3"/>
  <c r="D3" i="3"/>
  <c r="D23" i="3"/>
  <c r="D19" i="3"/>
  <c r="D11" i="3"/>
  <c r="E3" i="3"/>
  <c r="E23" i="3"/>
  <c r="E15" i="3"/>
  <c r="E7" i="3"/>
  <c r="B30" i="3"/>
  <c r="B22" i="3"/>
  <c r="B14" i="3"/>
  <c r="B6" i="3"/>
  <c r="C30" i="3"/>
  <c r="C22" i="3"/>
  <c r="C14" i="3"/>
  <c r="C6" i="3"/>
  <c r="D26" i="3"/>
  <c r="D18" i="3"/>
  <c r="D10" i="3"/>
  <c r="E30" i="3"/>
  <c r="E22" i="3"/>
  <c r="E14" i="3"/>
  <c r="E10" i="3"/>
  <c r="A18" i="3"/>
  <c r="B28" i="3"/>
  <c r="B24" i="3"/>
  <c r="B20" i="3"/>
  <c r="B16" i="3"/>
  <c r="B12" i="3"/>
  <c r="B8" i="3"/>
  <c r="B4" i="3"/>
  <c r="C28" i="3"/>
  <c r="C24" i="3"/>
  <c r="C20" i="3"/>
  <c r="C16" i="3"/>
  <c r="C12" i="3"/>
  <c r="C8" i="3"/>
  <c r="C4" i="3"/>
  <c r="D28" i="3"/>
  <c r="D24" i="3"/>
  <c r="D20" i="3"/>
  <c r="D16" i="3"/>
  <c r="D12" i="3"/>
  <c r="D8" i="3"/>
  <c r="D4" i="3"/>
  <c r="E28" i="3"/>
  <c r="E24" i="3"/>
  <c r="E20" i="3"/>
  <c r="E16" i="3"/>
  <c r="E12" i="3"/>
  <c r="E8" i="3"/>
  <c r="E4" i="3"/>
  <c r="A3" i="3"/>
  <c r="A7" i="3"/>
  <c r="A11" i="3"/>
  <c r="A15" i="3"/>
  <c r="A19" i="3"/>
  <c r="A4" i="3"/>
  <c r="A8" i="3"/>
  <c r="A12" i="3"/>
  <c r="A16" i="3"/>
  <c r="A20" i="3"/>
  <c r="A5" i="3"/>
  <c r="A9" i="3"/>
  <c r="A13" i="3"/>
  <c r="A17" i="3"/>
</calcChain>
</file>

<file path=xl/sharedStrings.xml><?xml version="1.0" encoding="utf-8"?>
<sst xmlns="http://schemas.openxmlformats.org/spreadsheetml/2006/main" count="258" uniqueCount="128">
  <si>
    <t>Bestelling van</t>
  </si>
  <si>
    <t>Firma</t>
  </si>
  <si>
    <t>Contactpersoon</t>
  </si>
  <si>
    <t>Order referentie</t>
  </si>
  <si>
    <t>Datum</t>
  </si>
  <si>
    <t>Positie</t>
  </si>
  <si>
    <t>Aantal</t>
  </si>
  <si>
    <t>X</t>
  </si>
  <si>
    <t>Breedte</t>
  </si>
  <si>
    <t>mm</t>
  </si>
  <si>
    <t>Y</t>
  </si>
  <si>
    <t>Hoogte</t>
  </si>
  <si>
    <t>Kastmaat</t>
  </si>
  <si>
    <t>vanaf buiten gezien</t>
  </si>
  <si>
    <t>Opmerkingen</t>
  </si>
  <si>
    <t>Zenders</t>
  </si>
  <si>
    <t>Motorkabel</t>
  </si>
  <si>
    <t>Bedieningskant</t>
  </si>
  <si>
    <t>geleiders</t>
  </si>
  <si>
    <t>Handmatige bediening</t>
  </si>
  <si>
    <t xml:space="preserve"> </t>
  </si>
  <si>
    <t xml:space="preserve">Alle offertes, leveringen, betalingen en transacties vinden plaats volgens onze algemene voorwaarden zoals vermeld in onze prijslijst. Indien een order na 6 werkuren wordt geannuleerd of gewijzigd zullen wij de reeds gemaakte kosten doorberekenen. </t>
  </si>
  <si>
    <t>Ecoroll L
42mm lamel</t>
  </si>
  <si>
    <t>Ecoroll M
37mm lamel</t>
  </si>
  <si>
    <t>EcoRoll XL52
52mm lamel</t>
  </si>
  <si>
    <t>EcoRoll XL55
55mm lamel</t>
  </si>
  <si>
    <t>EcoRoll XXL77
77mm lamel</t>
  </si>
  <si>
    <t>HTF-53</t>
  </si>
  <si>
    <t>LHTF-53</t>
  </si>
  <si>
    <t>HF-45</t>
  </si>
  <si>
    <t>LHF-45</t>
  </si>
  <si>
    <t>F-HTF-12</t>
  </si>
  <si>
    <t>F-HTF-20</t>
  </si>
  <si>
    <t>LT-12</t>
  </si>
  <si>
    <t>Oximo IO</t>
  </si>
  <si>
    <t>RS100 IO</t>
  </si>
  <si>
    <t>Band binnen</t>
  </si>
  <si>
    <t>mono binnen</t>
  </si>
  <si>
    <t xml:space="preserve">Band buiten </t>
  </si>
  <si>
    <t>Oogww buiten</t>
  </si>
  <si>
    <t>Standaard</t>
  </si>
  <si>
    <t>werkstekker</t>
  </si>
  <si>
    <t>5m1 wit</t>
  </si>
  <si>
    <t>10m1 wit</t>
  </si>
  <si>
    <t>5m1 zwart</t>
  </si>
  <si>
    <t xml:space="preserve">Kapsteun </t>
  </si>
  <si>
    <t xml:space="preserve">Geleider </t>
  </si>
  <si>
    <t>Bovenuit</t>
  </si>
  <si>
    <t>Voorkap</t>
  </si>
  <si>
    <t>Links</t>
  </si>
  <si>
    <t>Rechts</t>
  </si>
  <si>
    <t xml:space="preserve">ja </t>
  </si>
  <si>
    <t>Nee</t>
  </si>
  <si>
    <t>Situo 1</t>
  </si>
  <si>
    <t>Situo 5</t>
  </si>
  <si>
    <t>Smoove IO
 Origin</t>
  </si>
  <si>
    <t>Ilmo</t>
  </si>
  <si>
    <t>Kleur pantser</t>
  </si>
  <si>
    <t>Bestelformulier Rolluik</t>
  </si>
  <si>
    <t>Kabeluitvoer</t>
  </si>
  <si>
    <t>Kleur omkasting</t>
  </si>
  <si>
    <t>Type geleider links</t>
  </si>
  <si>
    <t>Type geleider rechts</t>
  </si>
  <si>
    <t>Geleider links voorboren</t>
  </si>
  <si>
    <t>Geleider rechts voorboren</t>
  </si>
  <si>
    <t>Elektrische bediening</t>
  </si>
  <si>
    <t>Op de dag</t>
  </si>
  <si>
    <t>In de dag</t>
  </si>
  <si>
    <r>
      <t>Kastvorm</t>
    </r>
    <r>
      <rPr>
        <b/>
        <sz val="8"/>
        <color theme="1"/>
        <rFont val="Calibri"/>
        <family val="2"/>
        <scheme val="minor"/>
      </rPr>
      <t xml:space="preserve"> </t>
    </r>
  </si>
  <si>
    <t>Rollex L 
42mm lamel</t>
  </si>
  <si>
    <t>Rollex M
37mm lamel</t>
  </si>
  <si>
    <t>Afgeschuind</t>
  </si>
  <si>
    <t>standaard afgeschuind</t>
  </si>
  <si>
    <r>
      <t xml:space="preserve">Type rolluik
</t>
    </r>
    <r>
      <rPr>
        <sz val="8"/>
        <color theme="1"/>
        <rFont val="Calibri"/>
        <family val="2"/>
        <scheme val="minor"/>
      </rPr>
      <t>Rollex = Extrusie</t>
    </r>
  </si>
  <si>
    <t>42mm lamel</t>
  </si>
  <si>
    <t>01 Wit</t>
  </si>
  <si>
    <t>02 Grijs</t>
  </si>
  <si>
    <t>03 Bruin</t>
  </si>
  <si>
    <t>04 Lichtbeige</t>
  </si>
  <si>
    <t>07 Naturel</t>
  </si>
  <si>
    <t>23 Lichtgrijs</t>
  </si>
  <si>
    <t>27 Creme-wit</t>
  </si>
  <si>
    <t>84 Creme</t>
  </si>
  <si>
    <t>38 Antracietgrijs</t>
  </si>
  <si>
    <t>85 Grijsaluminium</t>
  </si>
  <si>
    <t>13 Mosgroen</t>
  </si>
  <si>
    <t>12 Teak</t>
  </si>
  <si>
    <t>22 Donker eiken</t>
  </si>
  <si>
    <t>14 Purperrood</t>
  </si>
  <si>
    <t>28 Dennengroen</t>
  </si>
  <si>
    <t>30 Jamaicabruin</t>
  </si>
  <si>
    <t>39 Staalblauw</t>
  </si>
  <si>
    <t>43 Kwartsgrijs</t>
  </si>
  <si>
    <t>90 Diepzwart</t>
  </si>
  <si>
    <t>11 Eiken</t>
  </si>
  <si>
    <t>HTF-67</t>
  </si>
  <si>
    <t>LHTF-67</t>
  </si>
  <si>
    <t>GTF-850</t>
  </si>
  <si>
    <t>GTF-150</t>
  </si>
  <si>
    <t>berekening geleiders 
kolom 2</t>
  </si>
  <si>
    <t>berekening geleiders 
kolom 1</t>
  </si>
  <si>
    <t>berekening geleiders 
kolom 3</t>
  </si>
  <si>
    <t>berekening geleiders 
kolom 4</t>
  </si>
  <si>
    <t>berekening geleiders 
kolom 5</t>
  </si>
  <si>
    <t>Berekening Pantser
Kolom 1</t>
  </si>
  <si>
    <t>Berekening Pantser
Kolom 2</t>
  </si>
  <si>
    <t>Berekening Pantser
Kolom 3</t>
  </si>
  <si>
    <t>Berekening Pantser
Kolom 4</t>
  </si>
  <si>
    <t>Berekening Pantser
Kolom 5</t>
  </si>
  <si>
    <t>Berekening kapmaat
kolom 1</t>
  </si>
  <si>
    <t>Berekening kapmaat
kolom 2</t>
  </si>
  <si>
    <t>Berekening kapmaat
kolom 3</t>
  </si>
  <si>
    <t>Berekening kapmaat
kolom 4</t>
  </si>
  <si>
    <t>Berekening kapmaat
kolom 5</t>
  </si>
  <si>
    <t>invoerveld</t>
  </si>
  <si>
    <t>Afgerond</t>
  </si>
  <si>
    <t>cel e13</t>
  </si>
  <si>
    <t>Cel E13 is bij invoerRolluik de bron waar de informatie bepaalt wordt</t>
  </si>
  <si>
    <t>LT-17</t>
  </si>
  <si>
    <t>bij rolpoort</t>
  </si>
  <si>
    <t>Bubendorff Solar</t>
  </si>
  <si>
    <t>18 DB703</t>
  </si>
  <si>
    <t>Niet uitvoeren</t>
  </si>
  <si>
    <t/>
  </si>
  <si>
    <t>46 Zwartgrijs</t>
  </si>
  <si>
    <t>Solar RS100  IO</t>
  </si>
  <si>
    <t>Bkfix</t>
  </si>
  <si>
    <t>Bjorn 0032475610323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</si>
</sst>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€&quot;\ * #,##0.00_ ;_ &quot;€&quot;\ * \-#,##0.00_ ;_ &quot;€&quot;\ * &quot;-&quot;??_ ;_ @_ "/>
    <numFmt numFmtId="164" formatCode="&quot;€&quot;\ #,##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Tahoma"/>
      <family val="2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i/>
      <sz val="7.5"/>
      <color theme="1"/>
      <name val="Calibri"/>
      <family val="2"/>
      <scheme val="minor"/>
    </font>
    <font>
      <sz val="11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theme="0" tint="-0.1499679555650502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theme="0" tint="-0.1499679555650502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theme="0" tint="-0.14996795556505021"/>
      </bottom>
      <diagonal/>
    </border>
    <border>
      <left style="double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double">
        <color indexed="64"/>
      </left>
      <right/>
      <top style="thin">
        <color theme="0" tint="-0.1499679555650502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41">
    <xf numFmtId="0" fontId="0" fillId="0" borderId="0" xfId="0"/>
    <xf numFmtId="0" fontId="0" fillId="2" borderId="0" xfId="0" applyFill="1"/>
    <xf numFmtId="0" fontId="2" fillId="3" borderId="1" xfId="0" applyFont="1" applyFill="1" applyBorder="1" applyAlignment="1">
      <alignment horizontal="left" vertical="center"/>
    </xf>
    <xf numFmtId="0" fontId="5" fillId="3" borderId="2" xfId="0" applyFont="1" applyFill="1" applyBorder="1" applyAlignment="1">
      <alignment vertical="center"/>
    </xf>
    <xf numFmtId="0" fontId="5" fillId="3" borderId="3" xfId="0" applyFont="1" applyFill="1" applyBorder="1" applyAlignment="1">
      <alignment vertical="center"/>
    </xf>
    <xf numFmtId="0" fontId="6" fillId="4" borderId="4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4" borderId="9" xfId="0" applyFont="1" applyFill="1" applyBorder="1" applyAlignment="1">
      <alignment horizontal="left" vertical="center"/>
    </xf>
    <xf numFmtId="0" fontId="6" fillId="4" borderId="10" xfId="0" applyFont="1" applyFill="1" applyBorder="1" applyAlignment="1">
      <alignment horizontal="left" vertical="center"/>
    </xf>
    <xf numFmtId="164" fontId="8" fillId="2" borderId="0" xfId="1" applyNumberFormat="1" applyFont="1" applyFill="1" applyBorder="1" applyAlignment="1" applyProtection="1">
      <alignment horizontal="center" vertical="center"/>
    </xf>
    <xf numFmtId="0" fontId="2" fillId="3" borderId="1" xfId="0" applyFont="1" applyFill="1" applyBorder="1"/>
    <xf numFmtId="0" fontId="2" fillId="3" borderId="2" xfId="0" applyFont="1" applyFill="1" applyBorder="1"/>
    <xf numFmtId="0" fontId="2" fillId="4" borderId="13" xfId="0" applyFont="1" applyFill="1" applyBorder="1"/>
    <xf numFmtId="0" fontId="0" fillId="4" borderId="14" xfId="0" applyFill="1" applyBorder="1"/>
    <xf numFmtId="0" fontId="0" fillId="4" borderId="14" xfId="0" applyFill="1" applyBorder="1" applyAlignment="1">
      <alignment horizontal="right"/>
    </xf>
    <xf numFmtId="0" fontId="2" fillId="4" borderId="4" xfId="0" applyFont="1" applyFill="1" applyBorder="1"/>
    <xf numFmtId="0" fontId="0" fillId="4" borderId="0" xfId="0" applyFill="1"/>
    <xf numFmtId="0" fontId="0" fillId="4" borderId="0" xfId="0" applyFill="1" applyAlignment="1">
      <alignment horizontal="right"/>
    </xf>
    <xf numFmtId="0" fontId="2" fillId="4" borderId="9" xfId="0" applyFont="1" applyFill="1" applyBorder="1"/>
    <xf numFmtId="0" fontId="0" fillId="4" borderId="10" xfId="0" applyFill="1" applyBorder="1"/>
    <xf numFmtId="0" fontId="0" fillId="4" borderId="10" xfId="0" applyFill="1" applyBorder="1" applyAlignment="1">
      <alignment horizontal="right"/>
    </xf>
    <xf numFmtId="0" fontId="2" fillId="4" borderId="9" xfId="0" applyFont="1" applyFill="1" applyBorder="1" applyAlignment="1">
      <alignment vertical="center"/>
    </xf>
    <xf numFmtId="0" fontId="0" fillId="4" borderId="10" xfId="0" applyFill="1" applyBorder="1" applyAlignment="1">
      <alignment vertical="center"/>
    </xf>
    <xf numFmtId="0" fontId="2" fillId="2" borderId="0" xfId="0" applyFont="1" applyFill="1"/>
    <xf numFmtId="0" fontId="11" fillId="2" borderId="0" xfId="0" applyFont="1" applyFill="1" applyAlignment="1">
      <alignment horizontal="right" vertical="center"/>
    </xf>
    <xf numFmtId="0" fontId="0" fillId="2" borderId="0" xfId="0" applyFill="1" applyAlignment="1">
      <alignment horizontal="center"/>
    </xf>
    <xf numFmtId="0" fontId="0" fillId="3" borderId="2" xfId="0" applyFill="1" applyBorder="1"/>
    <xf numFmtId="0" fontId="12" fillId="2" borderId="0" xfId="0" applyFont="1" applyFill="1" applyAlignment="1">
      <alignment vertical="center"/>
    </xf>
    <xf numFmtId="0" fontId="7" fillId="2" borderId="0" xfId="0" applyFont="1" applyFill="1"/>
    <xf numFmtId="0" fontId="10" fillId="4" borderId="14" xfId="0" applyFont="1" applyFill="1" applyBorder="1" applyAlignment="1">
      <alignment horizontal="right" vertical="center"/>
    </xf>
    <xf numFmtId="0" fontId="2" fillId="4" borderId="13" xfId="0" applyFont="1" applyFill="1" applyBorder="1" applyAlignment="1">
      <alignment vertical="center"/>
    </xf>
    <xf numFmtId="0" fontId="2" fillId="4" borderId="14" xfId="0" applyFont="1" applyFill="1" applyBorder="1" applyAlignment="1">
      <alignment vertical="center"/>
    </xf>
    <xf numFmtId="0" fontId="5" fillId="0" borderId="0" xfId="0" applyFont="1" applyAlignment="1">
      <alignment vertical="center"/>
    </xf>
    <xf numFmtId="0" fontId="7" fillId="0" borderId="0" xfId="0" applyFont="1" applyAlignment="1" applyProtection="1">
      <alignment vertical="center"/>
      <protection locked="0"/>
    </xf>
    <xf numFmtId="14" fontId="7" fillId="0" borderId="0" xfId="0" applyNumberFormat="1" applyFont="1" applyAlignment="1" applyProtection="1">
      <alignment vertical="center"/>
      <protection locked="0"/>
    </xf>
    <xf numFmtId="0" fontId="5" fillId="3" borderId="1" xfId="0" applyFont="1" applyFill="1" applyBorder="1" applyAlignment="1">
      <alignment horizontal="left" vertical="center"/>
    </xf>
    <xf numFmtId="0" fontId="3" fillId="0" borderId="0" xfId="0" applyFont="1"/>
    <xf numFmtId="0" fontId="0" fillId="0" borderId="0" xfId="0" applyAlignment="1">
      <alignment wrapText="1"/>
    </xf>
    <xf numFmtId="0" fontId="2" fillId="3" borderId="3" xfId="0" applyFont="1" applyFill="1" applyBorder="1"/>
    <xf numFmtId="0" fontId="2" fillId="3" borderId="18" xfId="0" applyFont="1" applyFill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2" fillId="3" borderId="21" xfId="0" applyFont="1" applyFill="1" applyBorder="1" applyAlignment="1">
      <alignment horizontal="center"/>
    </xf>
    <xf numFmtId="0" fontId="7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13" fillId="0" borderId="0" xfId="0" applyFont="1" applyAlignment="1">
      <alignment horizontal="right" vertical="center" wrapText="1"/>
    </xf>
    <xf numFmtId="0" fontId="13" fillId="0" borderId="0" xfId="0" applyFont="1" applyAlignment="1">
      <alignment horizontal="center" vertical="center"/>
    </xf>
    <xf numFmtId="0" fontId="2" fillId="0" borderId="0" xfId="0" applyFont="1" applyAlignment="1">
      <alignment vertical="top" wrapText="1"/>
    </xf>
    <xf numFmtId="0" fontId="10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11" fillId="0" borderId="0" xfId="0" applyFont="1" applyAlignment="1">
      <alignment horizontal="right" vertical="center"/>
    </xf>
    <xf numFmtId="0" fontId="10" fillId="0" borderId="0" xfId="0" applyFont="1" applyAlignment="1">
      <alignment vertical="top" wrapText="1"/>
    </xf>
    <xf numFmtId="0" fontId="2" fillId="0" borderId="0" xfId="0" applyFont="1"/>
    <xf numFmtId="0" fontId="2" fillId="4" borderId="13" xfId="0" applyFont="1" applyFill="1" applyBorder="1" applyAlignment="1">
      <alignment horizontal="left" vertical="center"/>
    </xf>
    <xf numFmtId="0" fontId="2" fillId="4" borderId="14" xfId="0" applyFont="1" applyFill="1" applyBorder="1" applyAlignment="1">
      <alignment horizontal="left" vertical="center"/>
    </xf>
    <xf numFmtId="0" fontId="16" fillId="0" borderId="17" xfId="0" applyFont="1" applyBorder="1" applyAlignment="1" applyProtection="1">
      <alignment horizontal="center" shrinkToFit="1"/>
      <protection locked="0"/>
    </xf>
    <xf numFmtId="0" fontId="16" fillId="0" borderId="21" xfId="0" applyFont="1" applyBorder="1" applyAlignment="1" applyProtection="1">
      <alignment horizontal="center" shrinkToFit="1"/>
      <protection locked="0"/>
    </xf>
    <xf numFmtId="0" fontId="16" fillId="0" borderId="20" xfId="0" applyFont="1" applyBorder="1" applyAlignment="1" applyProtection="1">
      <alignment horizontal="center" shrinkToFit="1"/>
      <protection locked="0"/>
    </xf>
    <xf numFmtId="0" fontId="16" fillId="0" borderId="23" xfId="0" applyFont="1" applyBorder="1" applyAlignment="1" applyProtection="1">
      <alignment horizontal="center" shrinkToFit="1"/>
      <protection locked="0"/>
    </xf>
    <xf numFmtId="0" fontId="16" fillId="0" borderId="19" xfId="0" applyFont="1" applyBorder="1" applyAlignment="1" applyProtection="1">
      <alignment horizontal="center" shrinkToFit="1"/>
      <protection locked="0"/>
    </xf>
    <xf numFmtId="0" fontId="16" fillId="0" borderId="22" xfId="0" applyFont="1" applyBorder="1" applyAlignment="1" applyProtection="1">
      <alignment horizontal="center" shrinkToFit="1"/>
      <protection locked="0"/>
    </xf>
    <xf numFmtId="0" fontId="16" fillId="0" borderId="17" xfId="0" applyFont="1" applyBorder="1" applyAlignment="1" applyProtection="1">
      <alignment horizontal="center" vertical="center" wrapText="1" shrinkToFit="1"/>
      <protection locked="0"/>
    </xf>
    <xf numFmtId="0" fontId="16" fillId="0" borderId="21" xfId="0" applyFont="1" applyBorder="1" applyAlignment="1" applyProtection="1">
      <alignment horizontal="center" vertical="center" wrapText="1" shrinkToFit="1"/>
      <protection locked="0"/>
    </xf>
    <xf numFmtId="0" fontId="2" fillId="4" borderId="14" xfId="0" applyFont="1" applyFill="1" applyBorder="1" applyAlignment="1">
      <alignment vertical="center" shrinkToFit="1"/>
    </xf>
    <xf numFmtId="0" fontId="17" fillId="4" borderId="14" xfId="0" applyFont="1" applyFill="1" applyBorder="1" applyAlignment="1">
      <alignment horizontal="right"/>
    </xf>
    <xf numFmtId="0" fontId="17" fillId="4" borderId="10" xfId="0" applyFont="1" applyFill="1" applyBorder="1" applyAlignment="1">
      <alignment horizontal="right"/>
    </xf>
    <xf numFmtId="0" fontId="0" fillId="5" borderId="0" xfId="0" applyFill="1" applyAlignment="1">
      <alignment wrapText="1"/>
    </xf>
    <xf numFmtId="0" fontId="16" fillId="2" borderId="17" xfId="0" applyFont="1" applyFill="1" applyBorder="1" applyAlignment="1" applyProtection="1">
      <alignment horizontal="center" shrinkToFit="1"/>
      <protection locked="0"/>
    </xf>
    <xf numFmtId="0" fontId="16" fillId="2" borderId="21" xfId="0" applyFont="1" applyFill="1" applyBorder="1" applyAlignment="1" applyProtection="1">
      <alignment horizontal="center" shrinkToFit="1"/>
      <protection locked="0"/>
    </xf>
    <xf numFmtId="0" fontId="16" fillId="2" borderId="17" xfId="0" applyFont="1" applyFill="1" applyBorder="1" applyAlignment="1" applyProtection="1">
      <alignment horizontal="center" vertical="center" wrapText="1" shrinkToFit="1"/>
      <protection locked="0"/>
    </xf>
    <xf numFmtId="0" fontId="0" fillId="6" borderId="0" xfId="0" applyFill="1" applyAlignment="1">
      <alignment wrapText="1"/>
    </xf>
    <xf numFmtId="0" fontId="3" fillId="4" borderId="4" xfId="0" applyFont="1" applyFill="1" applyBorder="1"/>
    <xf numFmtId="0" fontId="3" fillId="4" borderId="0" xfId="0" applyFont="1" applyFill="1"/>
    <xf numFmtId="0" fontId="3" fillId="4" borderId="16" xfId="0" applyFont="1" applyFill="1" applyBorder="1"/>
    <xf numFmtId="0" fontId="0" fillId="4" borderId="4" xfId="0" applyFill="1" applyBorder="1"/>
    <xf numFmtId="0" fontId="0" fillId="4" borderId="16" xfId="0" applyFill="1" applyBorder="1"/>
    <xf numFmtId="0" fontId="0" fillId="4" borderId="9" xfId="0" applyFill="1" applyBorder="1"/>
    <xf numFmtId="0" fontId="0" fillId="4" borderId="15" xfId="0" applyFill="1" applyBorder="1"/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7" borderId="0" xfId="0" applyFill="1" applyAlignment="1">
      <alignment wrapText="1"/>
    </xf>
    <xf numFmtId="0" fontId="0" fillId="7" borderId="1" xfId="0" applyFill="1" applyBorder="1" applyAlignment="1">
      <alignment wrapText="1"/>
    </xf>
    <xf numFmtId="0" fontId="0" fillId="7" borderId="2" xfId="0" applyFill="1" applyBorder="1" applyAlignment="1">
      <alignment wrapText="1"/>
    </xf>
    <xf numFmtId="0" fontId="0" fillId="7" borderId="3" xfId="0" applyFill="1" applyBorder="1" applyAlignment="1">
      <alignment wrapText="1"/>
    </xf>
    <xf numFmtId="0" fontId="0" fillId="8" borderId="0" xfId="0" applyFill="1" applyAlignment="1">
      <alignment wrapText="1"/>
    </xf>
    <xf numFmtId="0" fontId="0" fillId="8" borderId="1" xfId="0" applyFill="1" applyBorder="1" applyAlignment="1">
      <alignment wrapText="1"/>
    </xf>
    <xf numFmtId="0" fontId="0" fillId="8" borderId="2" xfId="0" applyFill="1" applyBorder="1" applyAlignment="1">
      <alignment wrapText="1"/>
    </xf>
    <xf numFmtId="0" fontId="0" fillId="8" borderId="3" xfId="0" applyFill="1" applyBorder="1" applyAlignment="1">
      <alignment wrapText="1"/>
    </xf>
    <xf numFmtId="0" fontId="0" fillId="4" borderId="0" xfId="0" applyFill="1" applyAlignment="1">
      <alignment vertical="center"/>
    </xf>
    <xf numFmtId="0" fontId="16" fillId="2" borderId="21" xfId="0" applyFont="1" applyFill="1" applyBorder="1" applyAlignment="1" applyProtection="1">
      <alignment horizontal="center" vertical="center" wrapText="1" shrinkToFit="1"/>
      <protection locked="0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 shrinkToFit="1"/>
    </xf>
    <xf numFmtId="49" fontId="4" fillId="2" borderId="10" xfId="0" applyNumberFormat="1" applyFont="1" applyFill="1" applyBorder="1" applyAlignment="1">
      <alignment horizontal="center" vertical="center" shrinkToFit="1"/>
    </xf>
    <xf numFmtId="0" fontId="4" fillId="2" borderId="0" xfId="0" applyFont="1" applyFill="1" applyAlignment="1">
      <alignment horizontal="left" vertical="center"/>
    </xf>
    <xf numFmtId="0" fontId="4" fillId="2" borderId="10" xfId="0" applyFont="1" applyFill="1" applyBorder="1" applyAlignment="1">
      <alignment horizontal="left" vertical="center"/>
    </xf>
    <xf numFmtId="0" fontId="20" fillId="2" borderId="25" xfId="0" applyFont="1" applyFill="1" applyBorder="1" applyAlignment="1" applyProtection="1">
      <alignment horizontal="left" vertical="center"/>
      <protection locked="0"/>
    </xf>
    <xf numFmtId="0" fontId="20" fillId="2" borderId="5" xfId="0" applyFont="1" applyFill="1" applyBorder="1" applyAlignment="1" applyProtection="1">
      <alignment horizontal="left" vertical="center"/>
      <protection locked="0"/>
    </xf>
    <xf numFmtId="0" fontId="20" fillId="2" borderId="6" xfId="0" applyFont="1" applyFill="1" applyBorder="1" applyAlignment="1" applyProtection="1">
      <alignment horizontal="left" vertical="center"/>
      <protection locked="0"/>
    </xf>
    <xf numFmtId="0" fontId="20" fillId="2" borderId="26" xfId="0" applyFont="1" applyFill="1" applyBorder="1" applyAlignment="1" applyProtection="1">
      <alignment horizontal="left" vertical="center"/>
      <protection locked="0"/>
    </xf>
    <xf numFmtId="0" fontId="20" fillId="2" borderId="7" xfId="0" applyFont="1" applyFill="1" applyBorder="1" applyAlignment="1" applyProtection="1">
      <alignment horizontal="left" vertical="center"/>
      <protection locked="0"/>
    </xf>
    <xf numFmtId="0" fontId="20" fillId="2" borderId="8" xfId="0" applyFont="1" applyFill="1" applyBorder="1" applyAlignment="1" applyProtection="1">
      <alignment horizontal="left" vertical="center"/>
      <protection locked="0"/>
    </xf>
    <xf numFmtId="14" fontId="20" fillId="2" borderId="27" xfId="0" applyNumberFormat="1" applyFont="1" applyFill="1" applyBorder="1" applyAlignment="1" applyProtection="1">
      <alignment horizontal="left" vertical="center"/>
      <protection locked="0"/>
    </xf>
    <xf numFmtId="14" fontId="20" fillId="2" borderId="11" xfId="0" applyNumberFormat="1" applyFont="1" applyFill="1" applyBorder="1" applyAlignment="1" applyProtection="1">
      <alignment horizontal="left" vertical="center"/>
      <protection locked="0"/>
    </xf>
    <xf numFmtId="14" fontId="20" fillId="2" borderId="12" xfId="0" applyNumberFormat="1" applyFont="1" applyFill="1" applyBorder="1" applyAlignment="1" applyProtection="1">
      <alignment horizontal="left" vertical="center"/>
      <protection locked="0"/>
    </xf>
    <xf numFmtId="0" fontId="2" fillId="4" borderId="13" xfId="0" applyFont="1" applyFill="1" applyBorder="1" applyAlignment="1">
      <alignment horizontal="left" vertical="center"/>
    </xf>
    <xf numFmtId="0" fontId="2" fillId="4" borderId="14" xfId="0" applyFont="1" applyFill="1" applyBorder="1" applyAlignment="1">
      <alignment horizontal="left" vertical="center"/>
    </xf>
    <xf numFmtId="0" fontId="18" fillId="2" borderId="10" xfId="0" applyFont="1" applyFill="1" applyBorder="1" applyAlignment="1">
      <alignment horizontal="left"/>
    </xf>
    <xf numFmtId="0" fontId="16" fillId="0" borderId="18" xfId="0" applyFont="1" applyBorder="1" applyAlignment="1" applyProtection="1">
      <alignment horizontal="left" vertical="center" wrapText="1" shrinkToFit="1"/>
      <protection locked="0"/>
    </xf>
    <xf numFmtId="0" fontId="16" fillId="0" borderId="28" xfId="0" applyFont="1" applyBorder="1" applyAlignment="1" applyProtection="1">
      <alignment horizontal="left" vertical="center" wrapText="1" shrinkToFit="1"/>
      <protection locked="0"/>
    </xf>
    <xf numFmtId="0" fontId="16" fillId="0" borderId="31" xfId="0" applyFont="1" applyBorder="1" applyAlignment="1" applyProtection="1">
      <alignment horizontal="left" vertical="center" wrapText="1" shrinkToFit="1"/>
      <protection locked="0"/>
    </xf>
    <xf numFmtId="0" fontId="16" fillId="0" borderId="32" xfId="0" applyFont="1" applyBorder="1" applyAlignment="1" applyProtection="1">
      <alignment horizontal="left" vertical="center" wrapText="1" shrinkToFit="1"/>
      <protection locked="0"/>
    </xf>
    <xf numFmtId="0" fontId="2" fillId="4" borderId="24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left" wrapText="1"/>
    </xf>
    <xf numFmtId="0" fontId="2" fillId="4" borderId="2" xfId="0" applyFont="1" applyFill="1" applyBorder="1" applyAlignment="1">
      <alignment horizontal="left"/>
    </xf>
    <xf numFmtId="0" fontId="2" fillId="4" borderId="29" xfId="0" applyFont="1" applyFill="1" applyBorder="1" applyAlignment="1">
      <alignment horizontal="left"/>
    </xf>
    <xf numFmtId="0" fontId="2" fillId="4" borderId="9" xfId="0" applyFont="1" applyFill="1" applyBorder="1" applyAlignment="1">
      <alignment horizontal="left"/>
    </xf>
    <xf numFmtId="0" fontId="2" fillId="4" borderId="10" xfId="0" applyFont="1" applyFill="1" applyBorder="1" applyAlignment="1">
      <alignment horizontal="left"/>
    </xf>
    <xf numFmtId="0" fontId="2" fillId="4" borderId="30" xfId="0" applyFont="1" applyFill="1" applyBorder="1" applyAlignment="1">
      <alignment horizontal="left"/>
    </xf>
    <xf numFmtId="0" fontId="22" fillId="2" borderId="14" xfId="0" applyFont="1" applyFill="1" applyBorder="1" applyAlignment="1">
      <alignment horizontal="center"/>
    </xf>
    <xf numFmtId="0" fontId="15" fillId="2" borderId="0" xfId="0" applyFont="1" applyFill="1" applyAlignment="1">
      <alignment horizontal="center" wrapText="1"/>
    </xf>
    <xf numFmtId="0" fontId="20" fillId="2" borderId="1" xfId="0" applyFont="1" applyFill="1" applyBorder="1" applyAlignment="1" applyProtection="1">
      <alignment horizontal="left" vertical="center" wrapText="1" shrinkToFit="1"/>
      <protection locked="0"/>
    </xf>
    <xf numFmtId="0" fontId="20" fillId="2" borderId="2" xfId="0" applyFont="1" applyFill="1" applyBorder="1" applyAlignment="1" applyProtection="1">
      <alignment horizontal="left" vertical="center" shrinkToFit="1"/>
      <protection locked="0"/>
    </xf>
    <xf numFmtId="0" fontId="20" fillId="2" borderId="3" xfId="0" applyFont="1" applyFill="1" applyBorder="1" applyAlignment="1" applyProtection="1">
      <alignment horizontal="left" vertical="center" shrinkToFit="1"/>
      <protection locked="0"/>
    </xf>
    <xf numFmtId="0" fontId="20" fillId="2" borderId="4" xfId="0" applyFont="1" applyFill="1" applyBorder="1" applyAlignment="1" applyProtection="1">
      <alignment horizontal="left" vertical="center" shrinkToFit="1"/>
      <protection locked="0"/>
    </xf>
    <xf numFmtId="0" fontId="20" fillId="2" borderId="0" xfId="0" applyFont="1" applyFill="1" applyAlignment="1" applyProtection="1">
      <alignment horizontal="left" vertical="center" shrinkToFit="1"/>
      <protection locked="0"/>
    </xf>
    <xf numFmtId="0" fontId="20" fillId="2" borderId="16" xfId="0" applyFont="1" applyFill="1" applyBorder="1" applyAlignment="1" applyProtection="1">
      <alignment horizontal="left" vertical="center" shrinkToFit="1"/>
      <protection locked="0"/>
    </xf>
    <xf numFmtId="0" fontId="20" fillId="2" borderId="9" xfId="0" applyFont="1" applyFill="1" applyBorder="1" applyAlignment="1" applyProtection="1">
      <alignment horizontal="left" vertical="center" shrinkToFit="1"/>
      <protection locked="0"/>
    </xf>
    <xf numFmtId="0" fontId="20" fillId="2" borderId="10" xfId="0" applyFont="1" applyFill="1" applyBorder="1" applyAlignment="1" applyProtection="1">
      <alignment horizontal="left" vertical="center" shrinkToFit="1"/>
      <protection locked="0"/>
    </xf>
    <xf numFmtId="0" fontId="20" fillId="2" borderId="15" xfId="0" applyFont="1" applyFill="1" applyBorder="1" applyAlignment="1" applyProtection="1">
      <alignment horizontal="left" vertical="center" shrinkToFit="1"/>
      <protection locked="0"/>
    </xf>
    <xf numFmtId="0" fontId="7" fillId="2" borderId="0" xfId="0" applyFont="1" applyFill="1" applyAlignment="1">
      <alignment horizontal="left"/>
    </xf>
    <xf numFmtId="0" fontId="9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>
      <alignment horizontal="right" vertical="center"/>
    </xf>
    <xf numFmtId="0" fontId="0" fillId="0" borderId="0" xfId="0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16" xfId="0" applyFill="1" applyBorder="1" applyAlignment="1">
      <alignment horizontal="center"/>
    </xf>
  </cellXfs>
  <cellStyles count="2">
    <cellStyle name="Standaard" xfId="0" builtinId="0"/>
    <cellStyle name="Valuta" xfId="1" builtinId="4"/>
  </cellStyles>
  <dxfs count="3"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microsoft.com/office/2007/relationships/hdphoto" Target="../media/hdphoto6.wdp"/><Relationship Id="rId18" Type="http://schemas.openxmlformats.org/officeDocument/2006/relationships/image" Target="../media/image12.jpeg"/><Relationship Id="rId26" Type="http://schemas.microsoft.com/office/2007/relationships/hdphoto" Target="../media/hdphoto10.wdp"/><Relationship Id="rId3" Type="http://schemas.microsoft.com/office/2007/relationships/hdphoto" Target="../media/hdphoto1.wdp"/><Relationship Id="rId21" Type="http://schemas.openxmlformats.org/officeDocument/2006/relationships/image" Target="../media/image14.png"/><Relationship Id="rId7" Type="http://schemas.microsoft.com/office/2007/relationships/hdphoto" Target="../media/hdphoto3.wdp"/><Relationship Id="rId12" Type="http://schemas.openxmlformats.org/officeDocument/2006/relationships/image" Target="../media/image7.png"/><Relationship Id="rId17" Type="http://schemas.openxmlformats.org/officeDocument/2006/relationships/image" Target="../media/image11.jpeg"/><Relationship Id="rId25" Type="http://schemas.openxmlformats.org/officeDocument/2006/relationships/image" Target="../media/image16.png"/><Relationship Id="rId2" Type="http://schemas.openxmlformats.org/officeDocument/2006/relationships/image" Target="../media/image2.png"/><Relationship Id="rId16" Type="http://schemas.openxmlformats.org/officeDocument/2006/relationships/image" Target="../media/image10.jpeg"/><Relationship Id="rId20" Type="http://schemas.microsoft.com/office/2007/relationships/hdphoto" Target="../media/hdphoto7.wdp"/><Relationship Id="rId1" Type="http://schemas.openxmlformats.org/officeDocument/2006/relationships/image" Target="../media/image1.jpeg"/><Relationship Id="rId6" Type="http://schemas.openxmlformats.org/officeDocument/2006/relationships/image" Target="../media/image4.png"/><Relationship Id="rId11" Type="http://schemas.microsoft.com/office/2007/relationships/hdphoto" Target="../media/hdphoto5.wdp"/><Relationship Id="rId24" Type="http://schemas.microsoft.com/office/2007/relationships/hdphoto" Target="../media/hdphoto9.wdp"/><Relationship Id="rId5" Type="http://schemas.microsoft.com/office/2007/relationships/hdphoto" Target="../media/hdphoto2.wdp"/><Relationship Id="rId15" Type="http://schemas.openxmlformats.org/officeDocument/2006/relationships/image" Target="../media/image9.jpeg"/><Relationship Id="rId23" Type="http://schemas.openxmlformats.org/officeDocument/2006/relationships/image" Target="../media/image15.png"/><Relationship Id="rId10" Type="http://schemas.openxmlformats.org/officeDocument/2006/relationships/image" Target="../media/image6.png"/><Relationship Id="rId19" Type="http://schemas.openxmlformats.org/officeDocument/2006/relationships/image" Target="../media/image13.png"/><Relationship Id="rId4" Type="http://schemas.openxmlformats.org/officeDocument/2006/relationships/image" Target="../media/image3.png"/><Relationship Id="rId9" Type="http://schemas.microsoft.com/office/2007/relationships/hdphoto" Target="../media/hdphoto4.wdp"/><Relationship Id="rId14" Type="http://schemas.openxmlformats.org/officeDocument/2006/relationships/image" Target="../media/image8.jpeg"/><Relationship Id="rId22" Type="http://schemas.microsoft.com/office/2007/relationships/hdphoto" Target="../media/hdphoto8.wdp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466725</xdr:colOff>
      <xdr:row>0</xdr:row>
      <xdr:rowOff>161926</xdr:rowOff>
    </xdr:from>
    <xdr:ext cx="463120" cy="419100"/>
    <xdr:pic>
      <xdr:nvPicPr>
        <xdr:cNvPr id="845" name="Afbeelding 844">
          <a:extLst>
            <a:ext uri="{FF2B5EF4-FFF2-40B4-BE49-F238E27FC236}">
              <a16:creationId xmlns:a16="http://schemas.microsoft.com/office/drawing/2014/main" id="{00000000-0008-0000-0000-00004D03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105525" y="161926"/>
          <a:ext cx="463120" cy="419100"/>
        </a:xfrm>
        <a:prstGeom prst="rect">
          <a:avLst/>
        </a:prstGeom>
      </xdr:spPr>
    </xdr:pic>
    <xdr:clientData/>
  </xdr:oneCellAnchor>
  <xdr:twoCellAnchor>
    <xdr:from>
      <xdr:col>7</xdr:col>
      <xdr:colOff>342899</xdr:colOff>
      <xdr:row>3</xdr:row>
      <xdr:rowOff>150329</xdr:rowOff>
    </xdr:from>
    <xdr:to>
      <xdr:col>8</xdr:col>
      <xdr:colOff>933449</xdr:colOff>
      <xdr:row>8</xdr:row>
      <xdr:rowOff>61999</xdr:rowOff>
    </xdr:to>
    <xdr:sp macro="" textlink="">
      <xdr:nvSpPr>
        <xdr:cNvPr id="970" name="Tekstvak 969">
          <a:extLst>
            <a:ext uri="{FF2B5EF4-FFF2-40B4-BE49-F238E27FC236}">
              <a16:creationId xmlns:a16="http://schemas.microsoft.com/office/drawing/2014/main" id="{00000000-0008-0000-0000-0000CA030000}"/>
            </a:ext>
          </a:extLst>
        </xdr:cNvPr>
        <xdr:cNvSpPr txBox="1"/>
      </xdr:nvSpPr>
      <xdr:spPr>
        <a:xfrm>
          <a:off x="5029199" y="664679"/>
          <a:ext cx="1543050" cy="6927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t"/>
        <a:lstStyle/>
        <a:p>
          <a:pPr algn="r"/>
          <a:r>
            <a:rPr lang="nl-NL" sz="900" b="1"/>
            <a:t>Allround Zonwering</a:t>
          </a:r>
        </a:p>
        <a:p>
          <a:pPr algn="r"/>
          <a:r>
            <a:rPr lang="nl-NL" sz="900" baseline="0"/>
            <a:t>T: 0321-326185</a:t>
          </a:r>
        </a:p>
        <a:p>
          <a:pPr algn="r"/>
          <a:r>
            <a:rPr lang="nl-NL" sz="900" baseline="0"/>
            <a:t>F: 0341-770113</a:t>
          </a:r>
        </a:p>
        <a:p>
          <a:pPr algn="r"/>
          <a:r>
            <a:rPr lang="nl-NL" sz="900" baseline="0"/>
            <a:t>order@allroundzonwering.nl</a:t>
          </a:r>
          <a:endParaRPr lang="nl-NL" sz="900"/>
        </a:p>
      </xdr:txBody>
    </xdr:sp>
    <xdr:clientData/>
  </xdr:twoCellAnchor>
  <xdr:oneCellAnchor>
    <xdr:from>
      <xdr:col>1</xdr:col>
      <xdr:colOff>190500</xdr:colOff>
      <xdr:row>35</xdr:row>
      <xdr:rowOff>0</xdr:rowOff>
    </xdr:from>
    <xdr:ext cx="790575" cy="264560"/>
    <xdr:sp macro="" textlink="">
      <xdr:nvSpPr>
        <xdr:cNvPr id="8" name="Tekstvak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314325" y="6886575"/>
          <a:ext cx="7905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nl-NL" sz="1100"/>
            <a:t>HTF-53</a:t>
          </a:r>
        </a:p>
      </xdr:txBody>
    </xdr:sp>
    <xdr:clientData/>
  </xdr:oneCellAnchor>
  <xdr:oneCellAnchor>
    <xdr:from>
      <xdr:col>1</xdr:col>
      <xdr:colOff>180975</xdr:colOff>
      <xdr:row>43</xdr:row>
      <xdr:rowOff>28575</xdr:rowOff>
    </xdr:from>
    <xdr:ext cx="790575" cy="264560"/>
    <xdr:sp macro="" textlink="">
      <xdr:nvSpPr>
        <xdr:cNvPr id="29" name="Tekstvak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304800" y="7724775"/>
          <a:ext cx="7905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nl-NL" sz="1100"/>
            <a:t>LHTF-53</a:t>
          </a:r>
        </a:p>
      </xdr:txBody>
    </xdr:sp>
    <xdr:clientData/>
  </xdr:oneCellAnchor>
  <xdr:oneCellAnchor>
    <xdr:from>
      <xdr:col>1</xdr:col>
      <xdr:colOff>209550</xdr:colOff>
      <xdr:row>51</xdr:row>
      <xdr:rowOff>123825</xdr:rowOff>
    </xdr:from>
    <xdr:ext cx="790575" cy="264560"/>
    <xdr:sp macro="" textlink="">
      <xdr:nvSpPr>
        <xdr:cNvPr id="31" name="Tekstvak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333375" y="8829675"/>
          <a:ext cx="7905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nl-NL" sz="1100"/>
            <a:t>F-HTF-12</a:t>
          </a:r>
        </a:p>
      </xdr:txBody>
    </xdr:sp>
    <xdr:clientData/>
  </xdr:oneCellAnchor>
  <xdr:oneCellAnchor>
    <xdr:from>
      <xdr:col>3</xdr:col>
      <xdr:colOff>438150</xdr:colOff>
      <xdr:row>35</xdr:row>
      <xdr:rowOff>0</xdr:rowOff>
    </xdr:from>
    <xdr:ext cx="790575" cy="264560"/>
    <xdr:sp macro="" textlink="">
      <xdr:nvSpPr>
        <xdr:cNvPr id="32" name="Tekstvak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1657350" y="6886575"/>
          <a:ext cx="7905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nl-NL" sz="1100"/>
            <a:t>HF-45</a:t>
          </a:r>
        </a:p>
      </xdr:txBody>
    </xdr:sp>
    <xdr:clientData/>
  </xdr:oneCellAnchor>
  <xdr:oneCellAnchor>
    <xdr:from>
      <xdr:col>3</xdr:col>
      <xdr:colOff>552450</xdr:colOff>
      <xdr:row>43</xdr:row>
      <xdr:rowOff>28575</xdr:rowOff>
    </xdr:from>
    <xdr:ext cx="895350" cy="264560"/>
    <xdr:sp macro="" textlink="">
      <xdr:nvSpPr>
        <xdr:cNvPr id="33" name="Tekstvak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1771650" y="7724775"/>
          <a:ext cx="8953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nl-NL" sz="1100"/>
            <a:t>LHF-45</a:t>
          </a:r>
        </a:p>
      </xdr:txBody>
    </xdr:sp>
    <xdr:clientData/>
  </xdr:oneCellAnchor>
  <xdr:oneCellAnchor>
    <xdr:from>
      <xdr:col>3</xdr:col>
      <xdr:colOff>542925</xdr:colOff>
      <xdr:row>51</xdr:row>
      <xdr:rowOff>123825</xdr:rowOff>
    </xdr:from>
    <xdr:ext cx="790575" cy="264560"/>
    <xdr:sp macro="" textlink="">
      <xdr:nvSpPr>
        <xdr:cNvPr id="37" name="Tekstvak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1762125" y="8829675"/>
          <a:ext cx="7905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nl-NL" sz="1100"/>
            <a:t>F-HTF-20</a:t>
          </a:r>
        </a:p>
      </xdr:txBody>
    </xdr:sp>
    <xdr:clientData/>
  </xdr:oneCellAnchor>
  <xdr:twoCellAnchor editAs="oneCell">
    <xdr:from>
      <xdr:col>1</xdr:col>
      <xdr:colOff>38099</xdr:colOff>
      <xdr:row>37</xdr:row>
      <xdr:rowOff>47625</xdr:rowOff>
    </xdr:from>
    <xdr:to>
      <xdr:col>3</xdr:col>
      <xdr:colOff>257174</xdr:colOff>
      <xdr:row>44</xdr:row>
      <xdr:rowOff>24764</xdr:rowOff>
    </xdr:to>
    <xdr:pic>
      <xdr:nvPicPr>
        <xdr:cNvPr id="11" name="Afbeelding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9659" t="25583" r="21591"/>
        <a:stretch/>
      </xdr:blipFill>
      <xdr:spPr>
        <a:xfrm>
          <a:off x="161924" y="7086600"/>
          <a:ext cx="1152525" cy="767714"/>
        </a:xfrm>
        <a:prstGeom prst="rect">
          <a:avLst/>
        </a:prstGeom>
      </xdr:spPr>
    </xdr:pic>
    <xdr:clientData/>
  </xdr:twoCellAnchor>
  <xdr:twoCellAnchor editAs="oneCell">
    <xdr:from>
      <xdr:col>0</xdr:col>
      <xdr:colOff>76199</xdr:colOff>
      <xdr:row>44</xdr:row>
      <xdr:rowOff>105360</xdr:rowOff>
    </xdr:from>
    <xdr:to>
      <xdr:col>3</xdr:col>
      <xdr:colOff>228599</xdr:colOff>
      <xdr:row>52</xdr:row>
      <xdr:rowOff>81914</xdr:rowOff>
    </xdr:to>
    <xdr:pic>
      <xdr:nvPicPr>
        <xdr:cNvPr id="13" name="Afbeelding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304" r="21348"/>
        <a:stretch/>
      </xdr:blipFill>
      <xdr:spPr>
        <a:xfrm>
          <a:off x="76199" y="7934910"/>
          <a:ext cx="1209675" cy="1043354"/>
        </a:xfrm>
        <a:prstGeom prst="rect">
          <a:avLst/>
        </a:prstGeom>
      </xdr:spPr>
    </xdr:pic>
    <xdr:clientData/>
  </xdr:twoCellAnchor>
  <xdr:twoCellAnchor editAs="oneCell">
    <xdr:from>
      <xdr:col>3</xdr:col>
      <xdr:colOff>352425</xdr:colOff>
      <xdr:row>36</xdr:row>
      <xdr:rowOff>104775</xdr:rowOff>
    </xdr:from>
    <xdr:to>
      <xdr:col>4</xdr:col>
      <xdr:colOff>685801</xdr:colOff>
      <xdr:row>44</xdr:row>
      <xdr:rowOff>34290</xdr:rowOff>
    </xdr:to>
    <xdr:pic>
      <xdr:nvPicPr>
        <xdr:cNvPr id="14" name="Afbeelding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428" t="18657" r="30286"/>
        <a:stretch/>
      </xdr:blipFill>
      <xdr:spPr>
        <a:xfrm>
          <a:off x="1571625" y="7029450"/>
          <a:ext cx="1038226" cy="834390"/>
        </a:xfrm>
        <a:prstGeom prst="rect">
          <a:avLst/>
        </a:prstGeom>
      </xdr:spPr>
    </xdr:pic>
    <xdr:clientData/>
  </xdr:twoCellAnchor>
  <xdr:twoCellAnchor editAs="oneCell">
    <xdr:from>
      <xdr:col>3</xdr:col>
      <xdr:colOff>257174</xdr:colOff>
      <xdr:row>44</xdr:row>
      <xdr:rowOff>81182</xdr:rowOff>
    </xdr:from>
    <xdr:to>
      <xdr:col>4</xdr:col>
      <xdr:colOff>638175</xdr:colOff>
      <xdr:row>52</xdr:row>
      <xdr:rowOff>110489</xdr:rowOff>
    </xdr:to>
    <xdr:pic>
      <xdr:nvPicPr>
        <xdr:cNvPr id="15" name="Afbeelding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973" r="24064"/>
        <a:stretch/>
      </xdr:blipFill>
      <xdr:spPr>
        <a:xfrm>
          <a:off x="1476374" y="7910732"/>
          <a:ext cx="1085851" cy="1096107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52</xdr:row>
      <xdr:rowOff>95250</xdr:rowOff>
    </xdr:from>
    <xdr:to>
      <xdr:col>3</xdr:col>
      <xdr:colOff>409575</xdr:colOff>
      <xdr:row>56</xdr:row>
      <xdr:rowOff>262889</xdr:rowOff>
    </xdr:to>
    <xdr:pic>
      <xdr:nvPicPr>
        <xdr:cNvPr id="16" name="Afbeelding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8108" t="14271" r="10811"/>
        <a:stretch/>
      </xdr:blipFill>
      <xdr:spPr>
        <a:xfrm>
          <a:off x="38100" y="8991600"/>
          <a:ext cx="1428750" cy="929639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190500</xdr:colOff>
      <xdr:row>52</xdr:row>
      <xdr:rowOff>85725</xdr:rowOff>
    </xdr:from>
    <xdr:to>
      <xdr:col>5</xdr:col>
      <xdr:colOff>0</xdr:colOff>
      <xdr:row>56</xdr:row>
      <xdr:rowOff>272414</xdr:rowOff>
    </xdr:to>
    <xdr:pic>
      <xdr:nvPicPr>
        <xdr:cNvPr id="17" name="Afbeelding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915" t="13910" r="11170"/>
        <a:stretch/>
      </xdr:blipFill>
      <xdr:spPr>
        <a:xfrm>
          <a:off x="1409700" y="8982075"/>
          <a:ext cx="1466850" cy="948689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36</xdr:row>
      <xdr:rowOff>57150</xdr:rowOff>
    </xdr:from>
    <xdr:to>
      <xdr:col>5</xdr:col>
      <xdr:colOff>771850</xdr:colOff>
      <xdr:row>46</xdr:row>
      <xdr:rowOff>147674</xdr:rowOff>
    </xdr:to>
    <xdr:pic>
      <xdr:nvPicPr>
        <xdr:cNvPr id="26" name="Afbeelding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605" t="20871" b="2972"/>
        <a:stretch/>
      </xdr:blipFill>
      <xdr:spPr>
        <a:xfrm>
          <a:off x="2847975" y="6981825"/>
          <a:ext cx="705175" cy="1138274"/>
        </a:xfrm>
        <a:prstGeom prst="rect">
          <a:avLst/>
        </a:prstGeom>
      </xdr:spPr>
    </xdr:pic>
    <xdr:clientData/>
  </xdr:twoCellAnchor>
  <xdr:oneCellAnchor>
    <xdr:from>
      <xdr:col>5</xdr:col>
      <xdr:colOff>76200</xdr:colOff>
      <xdr:row>46</xdr:row>
      <xdr:rowOff>114300</xdr:rowOff>
    </xdr:from>
    <xdr:ext cx="790575" cy="264560"/>
    <xdr:sp macro="" textlink="">
      <xdr:nvSpPr>
        <xdr:cNvPr id="38" name="Tekstvak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857500" y="8086725"/>
          <a:ext cx="7905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nl-NL" sz="1100"/>
            <a:t>L-lamel</a:t>
          </a:r>
        </a:p>
      </xdr:txBody>
    </xdr:sp>
    <xdr:clientData/>
  </xdr:oneCellAnchor>
  <xdr:twoCellAnchor editAs="oneCell">
    <xdr:from>
      <xdr:col>4</xdr:col>
      <xdr:colOff>923926</xdr:colOff>
      <xdr:row>48</xdr:row>
      <xdr:rowOff>161924</xdr:rowOff>
    </xdr:from>
    <xdr:to>
      <xdr:col>5</xdr:col>
      <xdr:colOff>736060</xdr:colOff>
      <xdr:row>55</xdr:row>
      <xdr:rowOff>180973</xdr:rowOff>
    </xdr:to>
    <xdr:pic>
      <xdr:nvPicPr>
        <xdr:cNvPr id="27" name="Afbeelding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286"/>
        <a:stretch/>
      </xdr:blipFill>
      <xdr:spPr>
        <a:xfrm>
          <a:off x="2752726" y="8448674"/>
          <a:ext cx="764634" cy="1200149"/>
        </a:xfrm>
        <a:prstGeom prst="rect">
          <a:avLst/>
        </a:prstGeom>
      </xdr:spPr>
    </xdr:pic>
    <xdr:clientData/>
  </xdr:twoCellAnchor>
  <xdr:oneCellAnchor>
    <xdr:from>
      <xdr:col>5</xdr:col>
      <xdr:colOff>19050</xdr:colOff>
      <xdr:row>55</xdr:row>
      <xdr:rowOff>38100</xdr:rowOff>
    </xdr:from>
    <xdr:ext cx="790575" cy="264560"/>
    <xdr:sp macro="" textlink="">
      <xdr:nvSpPr>
        <xdr:cNvPr id="40" name="Tekstvak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 txBox="1"/>
      </xdr:nvSpPr>
      <xdr:spPr>
        <a:xfrm>
          <a:off x="2800350" y="9505950"/>
          <a:ext cx="7905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nl-NL" sz="1100"/>
            <a:t>M-lamel</a:t>
          </a:r>
        </a:p>
      </xdr:txBody>
    </xdr:sp>
    <xdr:clientData/>
  </xdr:oneCellAnchor>
  <xdr:twoCellAnchor editAs="oneCell">
    <xdr:from>
      <xdr:col>6</xdr:col>
      <xdr:colOff>47626</xdr:colOff>
      <xdr:row>36</xdr:row>
      <xdr:rowOff>85725</xdr:rowOff>
    </xdr:from>
    <xdr:to>
      <xdr:col>6</xdr:col>
      <xdr:colOff>716049</xdr:colOff>
      <xdr:row>47</xdr:row>
      <xdr:rowOff>109575</xdr:rowOff>
    </xdr:to>
    <xdr:pic>
      <xdr:nvPicPr>
        <xdr:cNvPr id="28" name="Afbeelding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1426" y="7010400"/>
          <a:ext cx="668423" cy="122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35</xdr:row>
      <xdr:rowOff>9525</xdr:rowOff>
    </xdr:from>
    <xdr:to>
      <xdr:col>6</xdr:col>
      <xdr:colOff>19050</xdr:colOff>
      <xdr:row>56</xdr:row>
      <xdr:rowOff>200025</xdr:rowOff>
    </xdr:to>
    <xdr:cxnSp macro="">
      <xdr:nvCxnSpPr>
        <xdr:cNvPr id="41" name="Rechte verbindingslijn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/>
      </xdr:nvCxnSpPr>
      <xdr:spPr>
        <a:xfrm>
          <a:off x="3752850" y="6896100"/>
          <a:ext cx="0" cy="29622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85725</xdr:colOff>
      <xdr:row>48</xdr:row>
      <xdr:rowOff>9525</xdr:rowOff>
    </xdr:from>
    <xdr:ext cx="904875" cy="264560"/>
    <xdr:sp macro="" textlink="">
      <xdr:nvSpPr>
        <xdr:cNvPr id="47" name="Tekstvak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 txBox="1"/>
      </xdr:nvSpPr>
      <xdr:spPr>
        <a:xfrm>
          <a:off x="3819525" y="8296275"/>
          <a:ext cx="9048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nl-NL" sz="1100"/>
            <a:t>XL52-lamel</a:t>
          </a:r>
        </a:p>
      </xdr:txBody>
    </xdr:sp>
    <xdr:clientData/>
  </xdr:oneCellAnchor>
  <xdr:oneCellAnchor>
    <xdr:from>
      <xdr:col>7</xdr:col>
      <xdr:colOff>57150</xdr:colOff>
      <xdr:row>48</xdr:row>
      <xdr:rowOff>9525</xdr:rowOff>
    </xdr:from>
    <xdr:ext cx="857250" cy="264560"/>
    <xdr:sp macro="" textlink="">
      <xdr:nvSpPr>
        <xdr:cNvPr id="48" name="Tekstvak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 txBox="1"/>
      </xdr:nvSpPr>
      <xdr:spPr>
        <a:xfrm>
          <a:off x="4743450" y="8296275"/>
          <a:ext cx="8572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nl-NL" sz="1100"/>
            <a:t>XL55-lamel</a:t>
          </a:r>
        </a:p>
      </xdr:txBody>
    </xdr:sp>
    <xdr:clientData/>
  </xdr:oneCellAnchor>
  <xdr:oneCellAnchor>
    <xdr:from>
      <xdr:col>8</xdr:col>
      <xdr:colOff>0</xdr:colOff>
      <xdr:row>48</xdr:row>
      <xdr:rowOff>9525</xdr:rowOff>
    </xdr:from>
    <xdr:ext cx="904875" cy="264560"/>
    <xdr:sp macro="" textlink="">
      <xdr:nvSpPr>
        <xdr:cNvPr id="49" name="Tekstvak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5638800" y="8296275"/>
          <a:ext cx="9048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nl-NL" sz="1100"/>
            <a:t>XXL77-lamel</a:t>
          </a:r>
        </a:p>
      </xdr:txBody>
    </xdr:sp>
    <xdr:clientData/>
  </xdr:oneCellAnchor>
  <xdr:oneCellAnchor>
    <xdr:from>
      <xdr:col>6</xdr:col>
      <xdr:colOff>19051</xdr:colOff>
      <xdr:row>52</xdr:row>
      <xdr:rowOff>114299</xdr:rowOff>
    </xdr:from>
    <xdr:ext cx="1485900" cy="186269"/>
    <xdr:sp macro="" textlink="">
      <xdr:nvSpPr>
        <xdr:cNvPr id="50" name="Tekstvak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 txBox="1"/>
      </xdr:nvSpPr>
      <xdr:spPr>
        <a:xfrm>
          <a:off x="3752851" y="9010649"/>
          <a:ext cx="1485900" cy="18626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nl-NL" sz="600"/>
            <a:t>GTF-850 alleen voor 55-lamel</a:t>
          </a:r>
        </a:p>
      </xdr:txBody>
    </xdr:sp>
    <xdr:clientData/>
  </xdr:oneCellAnchor>
  <xdr:twoCellAnchor editAs="oneCell">
    <xdr:from>
      <xdr:col>6</xdr:col>
      <xdr:colOff>933451</xdr:colOff>
      <xdr:row>34</xdr:row>
      <xdr:rowOff>55914</xdr:rowOff>
    </xdr:from>
    <xdr:to>
      <xdr:col>7</xdr:col>
      <xdr:colOff>806652</xdr:colOff>
      <xdr:row>48</xdr:row>
      <xdr:rowOff>43914</xdr:rowOff>
    </xdr:to>
    <xdr:pic>
      <xdr:nvPicPr>
        <xdr:cNvPr id="45" name="Afbeelding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7251" y="6809139"/>
          <a:ext cx="825701" cy="1512000"/>
        </a:xfrm>
        <a:prstGeom prst="rect">
          <a:avLst/>
        </a:prstGeom>
      </xdr:spPr>
    </xdr:pic>
    <xdr:clientData/>
  </xdr:twoCellAnchor>
  <xdr:twoCellAnchor editAs="oneCell">
    <xdr:from>
      <xdr:col>7</xdr:col>
      <xdr:colOff>914401</xdr:colOff>
      <xdr:row>36</xdr:row>
      <xdr:rowOff>47625</xdr:rowOff>
    </xdr:from>
    <xdr:to>
      <xdr:col>8</xdr:col>
      <xdr:colOff>885900</xdr:colOff>
      <xdr:row>50</xdr:row>
      <xdr:rowOff>53700</xdr:rowOff>
    </xdr:to>
    <xdr:pic>
      <xdr:nvPicPr>
        <xdr:cNvPr id="46" name="Afbeelding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1" y="6972300"/>
          <a:ext cx="923999" cy="1692000"/>
        </a:xfrm>
        <a:prstGeom prst="rect">
          <a:avLst/>
        </a:prstGeom>
      </xdr:spPr>
    </xdr:pic>
    <xdr:clientData/>
  </xdr:twoCellAnchor>
  <xdr:twoCellAnchor editAs="oneCell">
    <xdr:from>
      <xdr:col>7</xdr:col>
      <xdr:colOff>486852</xdr:colOff>
      <xdr:row>49</xdr:row>
      <xdr:rowOff>34282</xdr:rowOff>
    </xdr:from>
    <xdr:to>
      <xdr:col>8</xdr:col>
      <xdr:colOff>866352</xdr:colOff>
      <xdr:row>52</xdr:row>
      <xdr:rowOff>144116</xdr:rowOff>
    </xdr:to>
    <xdr:pic>
      <xdr:nvPicPr>
        <xdr:cNvPr id="52" name="Afbeelding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5560397" y="8095712"/>
          <a:ext cx="557509" cy="1332000"/>
        </a:xfrm>
        <a:prstGeom prst="rect">
          <a:avLst/>
        </a:prstGeom>
      </xdr:spPr>
    </xdr:pic>
    <xdr:clientData/>
  </xdr:twoCellAnchor>
  <xdr:twoCellAnchor editAs="oneCell">
    <xdr:from>
      <xdr:col>6</xdr:col>
      <xdr:colOff>64904</xdr:colOff>
      <xdr:row>49</xdr:row>
      <xdr:rowOff>32640</xdr:rowOff>
    </xdr:from>
    <xdr:to>
      <xdr:col>7</xdr:col>
      <xdr:colOff>444404</xdr:colOff>
      <xdr:row>53</xdr:row>
      <xdr:rowOff>7610</xdr:rowOff>
    </xdr:to>
    <xdr:pic>
      <xdr:nvPicPr>
        <xdr:cNvPr id="53" name="Afbeelding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4158131" y="8121888"/>
          <a:ext cx="613145" cy="1332000"/>
        </a:xfrm>
        <a:prstGeom prst="rect">
          <a:avLst/>
        </a:prstGeom>
      </xdr:spPr>
    </xdr:pic>
    <xdr:clientData/>
  </xdr:twoCellAnchor>
  <xdr:twoCellAnchor editAs="oneCell">
    <xdr:from>
      <xdr:col>6</xdr:col>
      <xdr:colOff>79213</xdr:colOff>
      <xdr:row>53</xdr:row>
      <xdr:rowOff>74709</xdr:rowOff>
    </xdr:from>
    <xdr:to>
      <xdr:col>7</xdr:col>
      <xdr:colOff>191991</xdr:colOff>
      <xdr:row>56</xdr:row>
      <xdr:rowOff>79209</xdr:rowOff>
    </xdr:to>
    <xdr:pic>
      <xdr:nvPicPr>
        <xdr:cNvPr id="54" name="Afbeelding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4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0257" t="29948" r="10016"/>
        <a:stretch/>
      </xdr:blipFill>
      <xdr:spPr>
        <a:xfrm>
          <a:off x="3813013" y="9161559"/>
          <a:ext cx="1065278" cy="576000"/>
        </a:xfrm>
        <a:prstGeom prst="rect">
          <a:avLst/>
        </a:prstGeom>
      </xdr:spPr>
    </xdr:pic>
    <xdr:clientData/>
  </xdr:twoCellAnchor>
  <xdr:oneCellAnchor>
    <xdr:from>
      <xdr:col>7</xdr:col>
      <xdr:colOff>590551</xdr:colOff>
      <xdr:row>52</xdr:row>
      <xdr:rowOff>123825</xdr:rowOff>
    </xdr:from>
    <xdr:ext cx="1152524" cy="186269"/>
    <xdr:sp macro="" textlink="">
      <xdr:nvSpPr>
        <xdr:cNvPr id="57" name="Tekstvak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 txBox="1"/>
      </xdr:nvSpPr>
      <xdr:spPr>
        <a:xfrm>
          <a:off x="5276851" y="9020175"/>
          <a:ext cx="1152524" cy="18626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nl-NL" sz="600"/>
            <a:t>GTF-150</a:t>
          </a:r>
          <a:r>
            <a:rPr lang="nl-NL" sz="600" baseline="0"/>
            <a:t> alleen voor 77-</a:t>
          </a:r>
          <a:r>
            <a:rPr lang="nl-NL" sz="600"/>
            <a:t>-lamel</a:t>
          </a:r>
        </a:p>
      </xdr:txBody>
    </xdr:sp>
    <xdr:clientData/>
  </xdr:oneCellAnchor>
  <xdr:twoCellAnchor editAs="oneCell">
    <xdr:from>
      <xdr:col>7</xdr:col>
      <xdr:colOff>342900</xdr:colOff>
      <xdr:row>53</xdr:row>
      <xdr:rowOff>87045</xdr:rowOff>
    </xdr:from>
    <xdr:to>
      <xdr:col>8</xdr:col>
      <xdr:colOff>704850</xdr:colOff>
      <xdr:row>56</xdr:row>
      <xdr:rowOff>171451</xdr:rowOff>
    </xdr:to>
    <xdr:pic>
      <xdr:nvPicPr>
        <xdr:cNvPr id="55" name="Afbeelding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5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b="18913"/>
        <a:stretch/>
      </xdr:blipFill>
      <xdr:spPr>
        <a:xfrm>
          <a:off x="5029200" y="9173895"/>
          <a:ext cx="1314450" cy="655906"/>
        </a:xfrm>
        <a:prstGeom prst="rect">
          <a:avLst/>
        </a:prstGeom>
      </xdr:spPr>
    </xdr:pic>
    <xdr:clientData/>
  </xdr:twoCellAnchor>
  <xdr:oneCellAnchor>
    <xdr:from>
      <xdr:col>7</xdr:col>
      <xdr:colOff>619125</xdr:colOff>
      <xdr:row>55</xdr:row>
      <xdr:rowOff>161925</xdr:rowOff>
    </xdr:from>
    <xdr:ext cx="2276475" cy="170624"/>
    <xdr:sp macro="" textlink="">
      <xdr:nvSpPr>
        <xdr:cNvPr id="59" name="Tekstvak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5305425" y="9629775"/>
          <a:ext cx="2276475" cy="1706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nl-NL" sz="500"/>
            <a:t>LHTF-67</a:t>
          </a:r>
          <a:r>
            <a:rPr lang="nl-NL" sz="500" baseline="0"/>
            <a:t> alleen voor 52-lamel</a:t>
          </a:r>
          <a:endParaRPr lang="nl-NL" sz="500"/>
        </a:p>
      </xdr:txBody>
    </xdr:sp>
    <xdr:clientData/>
  </xdr:oneCellAnchor>
  <xdr:oneCellAnchor>
    <xdr:from>
      <xdr:col>6</xdr:col>
      <xdr:colOff>47625</xdr:colOff>
      <xdr:row>55</xdr:row>
      <xdr:rowOff>161925</xdr:rowOff>
    </xdr:from>
    <xdr:ext cx="2276475" cy="170624"/>
    <xdr:sp macro="" textlink="">
      <xdr:nvSpPr>
        <xdr:cNvPr id="60" name="Tekstvak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/>
      </xdr:nvSpPr>
      <xdr:spPr>
        <a:xfrm>
          <a:off x="3781425" y="9629775"/>
          <a:ext cx="2276475" cy="1706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nl-NL" sz="500"/>
            <a:t>HTF-67</a:t>
          </a:r>
          <a:r>
            <a:rPr lang="nl-NL" sz="500" baseline="0"/>
            <a:t> alleen voor 52-lamel</a:t>
          </a:r>
          <a:endParaRPr lang="nl-NL" sz="500"/>
        </a:p>
      </xdr:txBody>
    </xdr:sp>
    <xdr:clientData/>
  </xdr:one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tabColor theme="4"/>
  </sheetPr>
  <dimension ref="A1:S59"/>
  <sheetViews>
    <sheetView showGridLines="0" showRowColHeaders="0" tabSelected="1" workbookViewId="0">
      <selection activeCell="M11" sqref="M11"/>
    </sheetView>
  </sheetViews>
  <sheetFormatPr defaultColWidth="8.85546875" defaultRowHeight="15" x14ac:dyDescent="0.25"/>
  <cols>
    <col min="1" max="1" width="1.85546875" customWidth="1"/>
    <col min="2" max="2" width="3.42578125" customWidth="1"/>
    <col min="3" max="4" width="10.5703125" customWidth="1"/>
    <col min="5" max="9" width="14.28515625" customWidth="1"/>
  </cols>
  <sheetData>
    <row r="1" spans="1:9" ht="15" customHeight="1" x14ac:dyDescent="0.25">
      <c r="A1" s="1"/>
      <c r="B1" s="98" t="s">
        <v>58</v>
      </c>
      <c r="C1" s="98"/>
      <c r="D1" s="98"/>
      <c r="E1" s="98"/>
      <c r="F1" s="98"/>
      <c r="G1" s="96"/>
      <c r="H1" s="95"/>
      <c r="I1" s="95"/>
    </row>
    <row r="2" spans="1:9" ht="11.25" customHeight="1" x14ac:dyDescent="0.25">
      <c r="A2" s="1"/>
      <c r="B2" s="99"/>
      <c r="C2" s="99"/>
      <c r="D2" s="99"/>
      <c r="E2" s="99"/>
      <c r="F2" s="99"/>
      <c r="G2" s="97"/>
      <c r="H2" s="95"/>
      <c r="I2" s="95"/>
    </row>
    <row r="3" spans="1:9" ht="14.25" customHeight="1" x14ac:dyDescent="0.25">
      <c r="A3" s="1"/>
      <c r="B3" s="2" t="s">
        <v>0</v>
      </c>
      <c r="C3" s="35"/>
      <c r="D3" s="3"/>
      <c r="E3" s="3"/>
      <c r="F3" s="3"/>
      <c r="G3" s="4"/>
      <c r="H3" s="32"/>
      <c r="I3" s="32"/>
    </row>
    <row r="4" spans="1:9" ht="13.5" customHeight="1" x14ac:dyDescent="0.25">
      <c r="A4" s="1"/>
      <c r="B4" s="5" t="s">
        <v>1</v>
      </c>
      <c r="C4" s="5"/>
      <c r="D4" s="6"/>
      <c r="E4" s="100" t="s">
        <v>126</v>
      </c>
      <c r="F4" s="101"/>
      <c r="G4" s="102"/>
      <c r="H4" s="33"/>
      <c r="I4" s="33"/>
    </row>
    <row r="5" spans="1:9" ht="13.5" customHeight="1" x14ac:dyDescent="0.25">
      <c r="A5" s="1"/>
      <c r="B5" s="5" t="s">
        <v>2</v>
      </c>
      <c r="C5" s="5"/>
      <c r="D5" s="6"/>
      <c r="E5" s="103" t="s">
        <v>127</v>
      </c>
      <c r="F5" s="104"/>
      <c r="G5" s="105"/>
      <c r="H5" s="34"/>
      <c r="I5" s="34"/>
    </row>
    <row r="6" spans="1:9" ht="13.5" customHeight="1" x14ac:dyDescent="0.25">
      <c r="A6" s="1"/>
      <c r="B6" s="5" t="s">
        <v>3</v>
      </c>
      <c r="C6" s="5"/>
      <c r="D6" s="6"/>
      <c r="E6" s="103"/>
      <c r="F6" s="104"/>
      <c r="G6" s="105"/>
      <c r="H6" s="33"/>
      <c r="I6" s="33"/>
    </row>
    <row r="7" spans="1:9" ht="13.5" customHeight="1" x14ac:dyDescent="0.25">
      <c r="A7" s="1"/>
      <c r="B7" s="7" t="s">
        <v>4</v>
      </c>
      <c r="C7" s="7"/>
      <c r="D7" s="8"/>
      <c r="E7" s="106"/>
      <c r="F7" s="107"/>
      <c r="G7" s="108"/>
      <c r="H7" s="33"/>
      <c r="I7" s="33"/>
    </row>
    <row r="8" spans="1:9" ht="15.75" customHeight="1" x14ac:dyDescent="0.25">
      <c r="A8" s="1"/>
      <c r="B8" s="111"/>
      <c r="C8" s="111"/>
      <c r="D8" s="111"/>
      <c r="E8" s="111"/>
      <c r="F8" s="111"/>
      <c r="G8" s="111"/>
      <c r="H8" s="111"/>
      <c r="I8" s="111"/>
    </row>
    <row r="9" spans="1:9" ht="15" customHeight="1" x14ac:dyDescent="0.25">
      <c r="A9" s="1"/>
      <c r="B9" s="10" t="s">
        <v>5</v>
      </c>
      <c r="C9" s="11"/>
      <c r="D9" s="11"/>
      <c r="E9" s="40">
        <v>1</v>
      </c>
      <c r="F9" s="39">
        <v>2</v>
      </c>
      <c r="G9" s="41">
        <v>3</v>
      </c>
      <c r="H9" s="39">
        <v>4</v>
      </c>
      <c r="I9" s="42">
        <v>5</v>
      </c>
    </row>
    <row r="10" spans="1:9" ht="18" customHeight="1" x14ac:dyDescent="0.25">
      <c r="A10" s="1"/>
      <c r="B10" s="12" t="s">
        <v>6</v>
      </c>
      <c r="C10" s="13"/>
      <c r="D10" s="14"/>
      <c r="E10" s="56"/>
      <c r="F10" s="56"/>
      <c r="G10" s="56"/>
      <c r="H10" s="56"/>
      <c r="I10" s="57"/>
    </row>
    <row r="11" spans="1:9" ht="18" customHeight="1" x14ac:dyDescent="0.25">
      <c r="A11" s="1"/>
      <c r="B11" s="15" t="s">
        <v>7</v>
      </c>
      <c r="C11" s="16" t="s">
        <v>8</v>
      </c>
      <c r="D11" s="17" t="s">
        <v>9</v>
      </c>
      <c r="E11" s="58"/>
      <c r="F11" s="58"/>
      <c r="G11" s="58"/>
      <c r="H11" s="58"/>
      <c r="I11" s="59"/>
    </row>
    <row r="12" spans="1:9" ht="18" customHeight="1" x14ac:dyDescent="0.25">
      <c r="A12" s="1"/>
      <c r="B12" s="18" t="s">
        <v>10</v>
      </c>
      <c r="C12" s="19" t="s">
        <v>11</v>
      </c>
      <c r="D12" s="20" t="s">
        <v>9</v>
      </c>
      <c r="E12" s="60"/>
      <c r="F12" s="60"/>
      <c r="G12" s="60"/>
      <c r="H12" s="60"/>
      <c r="I12" s="61"/>
    </row>
    <row r="13" spans="1:9" ht="18" customHeight="1" x14ac:dyDescent="0.25">
      <c r="A13" s="1"/>
      <c r="B13" s="117" t="s">
        <v>73</v>
      </c>
      <c r="C13" s="118"/>
      <c r="D13" s="119"/>
      <c r="E13" s="112"/>
      <c r="F13" s="112"/>
      <c r="G13" s="112"/>
      <c r="H13" s="112"/>
      <c r="I13" s="114"/>
    </row>
    <row r="14" spans="1:9" ht="18" customHeight="1" x14ac:dyDescent="0.25">
      <c r="A14" s="1"/>
      <c r="B14" s="120"/>
      <c r="C14" s="121"/>
      <c r="D14" s="122"/>
      <c r="E14" s="113"/>
      <c r="F14" s="113"/>
      <c r="G14" s="113"/>
      <c r="H14" s="113"/>
      <c r="I14" s="115"/>
    </row>
    <row r="15" spans="1:9" ht="18" customHeight="1" x14ac:dyDescent="0.25">
      <c r="A15" s="1"/>
      <c r="B15" s="30" t="s">
        <v>68</v>
      </c>
      <c r="C15" s="64"/>
      <c r="D15" s="66" t="s">
        <v>72</v>
      </c>
      <c r="E15" s="62"/>
      <c r="F15" s="62"/>
      <c r="G15" s="62"/>
      <c r="H15" s="62"/>
      <c r="I15" s="63"/>
    </row>
    <row r="16" spans="1:9" ht="18" customHeight="1" x14ac:dyDescent="0.25">
      <c r="A16" s="1"/>
      <c r="B16" s="21" t="s">
        <v>12</v>
      </c>
      <c r="C16" s="22"/>
      <c r="D16" s="93"/>
      <c r="E16" s="56"/>
      <c r="F16" s="56"/>
      <c r="G16" s="56"/>
      <c r="H16" s="56"/>
      <c r="I16" s="57"/>
    </row>
    <row r="17" spans="1:19" ht="18" customHeight="1" x14ac:dyDescent="0.25">
      <c r="A17" s="1"/>
      <c r="B17" s="109" t="s">
        <v>60</v>
      </c>
      <c r="C17" s="110"/>
      <c r="D17" s="110"/>
      <c r="E17" s="56"/>
      <c r="F17" s="56"/>
      <c r="G17" s="56"/>
      <c r="H17" s="56"/>
      <c r="I17" s="57"/>
    </row>
    <row r="18" spans="1:19" ht="18" customHeight="1" x14ac:dyDescent="0.25">
      <c r="A18" s="1"/>
      <c r="B18" s="109" t="s">
        <v>61</v>
      </c>
      <c r="C18" s="110"/>
      <c r="D18" s="110"/>
      <c r="E18" s="56"/>
      <c r="F18" s="56"/>
      <c r="G18" s="56"/>
      <c r="H18" s="56"/>
      <c r="I18" s="57"/>
    </row>
    <row r="19" spans="1:19" ht="18" customHeight="1" x14ac:dyDescent="0.25">
      <c r="A19" s="1"/>
      <c r="B19" s="109" t="s">
        <v>62</v>
      </c>
      <c r="C19" s="110"/>
      <c r="D19" s="110"/>
      <c r="E19" s="56"/>
      <c r="F19" s="56"/>
      <c r="G19" s="56"/>
      <c r="H19" s="56"/>
      <c r="I19" s="57"/>
    </row>
    <row r="20" spans="1:19" ht="18" customHeight="1" x14ac:dyDescent="0.25">
      <c r="A20" s="1"/>
      <c r="B20" s="109" t="s">
        <v>57</v>
      </c>
      <c r="C20" s="110"/>
      <c r="D20" s="116"/>
      <c r="E20" s="56" t="s">
        <v>123</v>
      </c>
      <c r="F20" s="56"/>
      <c r="G20" s="56"/>
      <c r="H20" s="56"/>
      <c r="I20" s="57"/>
    </row>
    <row r="21" spans="1:19" ht="18" customHeight="1" x14ac:dyDescent="0.25">
      <c r="A21" s="1"/>
      <c r="B21" s="54" t="s">
        <v>65</v>
      </c>
      <c r="C21" s="55"/>
      <c r="D21" s="55"/>
      <c r="E21" s="56"/>
      <c r="F21" s="56"/>
      <c r="G21" s="56"/>
      <c r="H21" s="56"/>
      <c r="I21" s="57"/>
    </row>
    <row r="22" spans="1:19" ht="18" customHeight="1" x14ac:dyDescent="0.25">
      <c r="A22" s="1"/>
      <c r="B22" s="54" t="s">
        <v>19</v>
      </c>
      <c r="C22" s="55"/>
      <c r="D22" s="55"/>
      <c r="E22" s="56"/>
      <c r="F22" s="56"/>
      <c r="G22" s="56"/>
      <c r="H22" s="56"/>
      <c r="I22" s="57"/>
    </row>
    <row r="23" spans="1:19" ht="18" customHeight="1" x14ac:dyDescent="0.25">
      <c r="A23" s="1"/>
      <c r="B23" s="54" t="s">
        <v>16</v>
      </c>
      <c r="C23" s="55"/>
      <c r="D23" s="55"/>
      <c r="E23" s="56"/>
      <c r="F23" s="56"/>
      <c r="G23" s="56"/>
      <c r="H23" s="56"/>
      <c r="I23" s="57"/>
    </row>
    <row r="24" spans="1:19" ht="18" customHeight="1" x14ac:dyDescent="0.25">
      <c r="A24" s="1"/>
      <c r="B24" s="30" t="s">
        <v>59</v>
      </c>
      <c r="C24" s="31"/>
      <c r="D24" s="29"/>
      <c r="E24" s="68"/>
      <c r="F24" s="68"/>
      <c r="G24" s="68"/>
      <c r="H24" s="68"/>
      <c r="I24" s="69"/>
    </row>
    <row r="25" spans="1:19" ht="18" customHeight="1" x14ac:dyDescent="0.25">
      <c r="A25" s="1"/>
      <c r="B25" s="30" t="s">
        <v>17</v>
      </c>
      <c r="C25" s="31"/>
      <c r="D25" s="65" t="s">
        <v>13</v>
      </c>
      <c r="E25" s="56"/>
      <c r="F25" s="56"/>
      <c r="G25" s="56"/>
      <c r="H25" s="56"/>
      <c r="I25" s="57"/>
    </row>
    <row r="26" spans="1:19" ht="18" customHeight="1" x14ac:dyDescent="0.25">
      <c r="A26" s="1"/>
      <c r="B26" s="109" t="s">
        <v>63</v>
      </c>
      <c r="C26" s="110"/>
      <c r="D26" s="110"/>
      <c r="E26" s="68"/>
      <c r="F26" s="68"/>
      <c r="G26" s="68"/>
      <c r="H26" s="68"/>
      <c r="I26" s="69"/>
    </row>
    <row r="27" spans="1:19" ht="18" customHeight="1" x14ac:dyDescent="0.25">
      <c r="A27" s="1"/>
      <c r="B27" s="109" t="s">
        <v>64</v>
      </c>
      <c r="C27" s="110"/>
      <c r="D27" s="110"/>
      <c r="E27" s="68"/>
      <c r="F27" s="68"/>
      <c r="G27" s="68"/>
      <c r="H27" s="68"/>
      <c r="I27" s="69"/>
    </row>
    <row r="28" spans="1:19" ht="30" customHeight="1" x14ac:dyDescent="0.25">
      <c r="A28" s="1"/>
      <c r="B28" s="109" t="s">
        <v>15</v>
      </c>
      <c r="C28" s="110"/>
      <c r="D28" s="110"/>
      <c r="E28" s="70"/>
      <c r="F28" s="70"/>
      <c r="G28" s="70"/>
      <c r="H28" s="70"/>
      <c r="I28" s="94"/>
    </row>
    <row r="29" spans="1:19" ht="24" customHeight="1" x14ac:dyDescent="0.35">
      <c r="A29" s="1"/>
      <c r="B29" s="123" t="str">
        <f>IF(AND(ISBLANK(B31)),"","**Zie opmerking**")</f>
        <v/>
      </c>
      <c r="C29" s="123"/>
      <c r="D29" s="123"/>
      <c r="E29" s="123"/>
      <c r="F29" s="123"/>
      <c r="G29" s="123"/>
      <c r="H29" s="123"/>
      <c r="I29" s="123"/>
    </row>
    <row r="30" spans="1:19" ht="15" customHeight="1" x14ac:dyDescent="0.25">
      <c r="A30" s="1"/>
      <c r="B30" s="10" t="s">
        <v>14</v>
      </c>
      <c r="C30" s="26"/>
      <c r="D30" s="26"/>
      <c r="E30" s="26"/>
      <c r="F30" s="26"/>
      <c r="G30" s="26"/>
      <c r="H30" s="26"/>
      <c r="I30" s="38"/>
    </row>
    <row r="31" spans="1:19" ht="15" customHeight="1" x14ac:dyDescent="0.25">
      <c r="A31" s="1"/>
      <c r="B31" s="125"/>
      <c r="C31" s="126"/>
      <c r="D31" s="126"/>
      <c r="E31" s="126"/>
      <c r="F31" s="126"/>
      <c r="G31" s="126"/>
      <c r="H31" s="126"/>
      <c r="I31" s="127"/>
      <c r="S31" t="s">
        <v>20</v>
      </c>
    </row>
    <row r="32" spans="1:19" ht="10.9" customHeight="1" x14ac:dyDescent="0.25">
      <c r="A32" s="1"/>
      <c r="B32" s="128"/>
      <c r="C32" s="129"/>
      <c r="D32" s="129"/>
      <c r="E32" s="129"/>
      <c r="F32" s="129"/>
      <c r="G32" s="129"/>
      <c r="H32" s="129"/>
      <c r="I32" s="130"/>
    </row>
    <row r="33" spans="1:9" ht="10.9" customHeight="1" x14ac:dyDescent="0.25">
      <c r="A33" s="1"/>
      <c r="B33" s="128"/>
      <c r="C33" s="129"/>
      <c r="D33" s="129"/>
      <c r="E33" s="129"/>
      <c r="F33" s="129"/>
      <c r="G33" s="129"/>
      <c r="H33" s="129"/>
      <c r="I33" s="130"/>
    </row>
    <row r="34" spans="1:9" ht="7.5" customHeight="1" x14ac:dyDescent="0.25">
      <c r="A34" s="1"/>
      <c r="B34" s="128"/>
      <c r="C34" s="129"/>
      <c r="D34" s="129"/>
      <c r="E34" s="129"/>
      <c r="F34" s="129"/>
      <c r="G34" s="129"/>
      <c r="H34" s="129"/>
      <c r="I34" s="130"/>
    </row>
    <row r="35" spans="1:9" ht="9.75" customHeight="1" x14ac:dyDescent="0.25">
      <c r="A35" s="1"/>
      <c r="B35" s="131"/>
      <c r="C35" s="132"/>
      <c r="D35" s="132"/>
      <c r="E35" s="132"/>
      <c r="F35" s="132"/>
      <c r="G35" s="132"/>
      <c r="H35" s="132"/>
      <c r="I35" s="133"/>
    </row>
    <row r="36" spans="1:9" ht="3.6" customHeight="1" x14ac:dyDescent="0.25">
      <c r="A36" s="1"/>
      <c r="B36" s="23"/>
      <c r="C36" s="23"/>
      <c r="D36" s="24"/>
      <c r="E36" s="25"/>
      <c r="F36" s="25"/>
      <c r="G36" s="25"/>
      <c r="H36" s="25"/>
      <c r="I36" s="25"/>
    </row>
    <row r="37" spans="1:9" ht="9" customHeight="1" x14ac:dyDescent="0.25">
      <c r="A37" s="1"/>
      <c r="B37" s="27"/>
      <c r="C37" s="23"/>
      <c r="D37" s="24"/>
      <c r="E37" s="25"/>
      <c r="F37" s="25"/>
      <c r="G37" s="25"/>
      <c r="H37" s="25"/>
      <c r="I37" s="25"/>
    </row>
    <row r="38" spans="1:9" ht="10.9" customHeight="1" x14ac:dyDescent="0.25">
      <c r="A38" s="1"/>
      <c r="B38" s="44"/>
      <c r="C38" s="45"/>
      <c r="D38" s="46"/>
      <c r="E38" s="47"/>
      <c r="F38" s="47"/>
      <c r="G38" s="47"/>
      <c r="H38" s="47"/>
      <c r="I38" s="47"/>
    </row>
    <row r="39" spans="1:9" ht="3" hidden="1" customHeight="1" x14ac:dyDescent="0.25">
      <c r="A39" s="1"/>
      <c r="B39" s="48"/>
      <c r="C39" s="48"/>
      <c r="D39" s="136"/>
      <c r="E39" s="135"/>
      <c r="F39" s="135"/>
      <c r="G39" s="135"/>
      <c r="H39" s="135"/>
      <c r="I39" s="135"/>
    </row>
    <row r="40" spans="1:9" ht="10.15" customHeight="1" x14ac:dyDescent="0.25">
      <c r="A40" s="1"/>
      <c r="B40" s="49"/>
      <c r="C40" s="48"/>
      <c r="D40" s="136"/>
      <c r="E40" s="135"/>
      <c r="F40" s="135"/>
      <c r="G40" s="135"/>
      <c r="H40" s="135"/>
      <c r="I40" s="135"/>
    </row>
    <row r="41" spans="1:9" ht="10.9" customHeight="1" x14ac:dyDescent="0.25">
      <c r="A41" s="1"/>
      <c r="B41" s="50"/>
      <c r="C41" s="45"/>
      <c r="D41" s="51"/>
      <c r="E41" s="43"/>
      <c r="F41" s="43"/>
      <c r="G41" s="43"/>
      <c r="H41" s="43"/>
      <c r="I41" s="43"/>
    </row>
    <row r="42" spans="1:9" ht="10.9" customHeight="1" x14ac:dyDescent="0.25">
      <c r="A42" s="1"/>
      <c r="B42" s="49"/>
      <c r="C42" s="52"/>
      <c r="D42" s="51"/>
      <c r="E42" s="43"/>
      <c r="F42" s="43"/>
      <c r="G42" s="43"/>
      <c r="H42" s="43"/>
      <c r="I42" s="43"/>
    </row>
    <row r="43" spans="1:9" ht="10.9" customHeight="1" x14ac:dyDescent="0.25">
      <c r="A43" s="1"/>
      <c r="B43" s="50"/>
      <c r="C43" s="53"/>
      <c r="D43" s="51"/>
      <c r="E43" s="43"/>
      <c r="F43" s="43"/>
      <c r="G43" s="43"/>
      <c r="H43" s="43"/>
      <c r="I43" s="43"/>
    </row>
    <row r="44" spans="1:9" ht="10.9" customHeight="1" x14ac:dyDescent="0.25">
      <c r="A44" s="1"/>
      <c r="B44" s="49"/>
      <c r="C44" s="53"/>
      <c r="D44" s="51"/>
      <c r="E44" s="43"/>
      <c r="F44" s="43"/>
      <c r="G44" s="43"/>
      <c r="H44" s="43"/>
      <c r="I44" s="43"/>
    </row>
    <row r="45" spans="1:9" ht="10.9" customHeight="1" x14ac:dyDescent="0.25">
      <c r="A45" s="1"/>
      <c r="B45" s="50"/>
      <c r="C45" s="53"/>
      <c r="D45" s="51"/>
      <c r="E45" s="43"/>
      <c r="F45" s="43"/>
      <c r="G45" s="43"/>
      <c r="H45" s="43"/>
      <c r="I45" s="43"/>
    </row>
    <row r="46" spans="1:9" ht="1.1499999999999999" customHeight="1" x14ac:dyDescent="0.25">
      <c r="A46" s="1"/>
      <c r="B46" s="1"/>
      <c r="C46" s="1"/>
      <c r="D46" s="1"/>
      <c r="E46" s="1"/>
      <c r="F46" s="1"/>
      <c r="G46" s="1"/>
      <c r="H46" s="1"/>
      <c r="I46" s="1"/>
    </row>
    <row r="47" spans="1:9" ht="12.6" customHeight="1" x14ac:dyDescent="0.25">
      <c r="A47" s="1"/>
      <c r="B47" s="134"/>
      <c r="C47" s="134"/>
      <c r="D47" s="28"/>
      <c r="E47" s="28"/>
      <c r="F47" s="28"/>
      <c r="G47" s="28"/>
      <c r="H47" s="28"/>
      <c r="I47" s="9"/>
    </row>
    <row r="48" spans="1:9" ht="13.15" customHeight="1" x14ac:dyDescent="0.25">
      <c r="A48" s="1"/>
      <c r="B48" s="134"/>
      <c r="C48" s="134"/>
      <c r="D48" s="28"/>
      <c r="E48" s="28"/>
      <c r="F48" s="28"/>
      <c r="G48" s="28"/>
      <c r="H48" s="28"/>
      <c r="I48" s="9"/>
    </row>
    <row r="49" spans="1:17" ht="13.15" customHeight="1" x14ac:dyDescent="0.25">
      <c r="A49" s="1"/>
      <c r="B49" s="134"/>
      <c r="C49" s="134"/>
      <c r="D49" s="28"/>
      <c r="E49" s="28"/>
      <c r="F49" s="28"/>
      <c r="G49" s="28"/>
      <c r="H49" s="28"/>
      <c r="I49" s="9"/>
    </row>
    <row r="50" spans="1:17" ht="13.15" customHeight="1" x14ac:dyDescent="0.25">
      <c r="A50" s="1"/>
      <c r="B50" s="134"/>
      <c r="C50" s="134"/>
      <c r="D50" s="28"/>
      <c r="E50" s="28"/>
      <c r="F50" s="28"/>
      <c r="G50" s="28"/>
      <c r="H50" s="28"/>
      <c r="I50" s="9"/>
    </row>
    <row r="51" spans="1:17" ht="7.9" customHeight="1" x14ac:dyDescent="0.25">
      <c r="A51" s="1"/>
      <c r="B51" s="1"/>
      <c r="C51" s="1"/>
      <c r="D51" s="1"/>
      <c r="E51" s="1"/>
      <c r="F51" s="1"/>
      <c r="G51" s="1"/>
      <c r="H51" s="1"/>
      <c r="I51" s="9"/>
    </row>
    <row r="52" spans="1:17" ht="15" customHeight="1" x14ac:dyDescent="0.25">
      <c r="A52" s="1"/>
      <c r="B52" s="1"/>
      <c r="C52" s="1"/>
      <c r="D52" s="1"/>
      <c r="E52" s="1"/>
      <c r="F52" s="1"/>
      <c r="G52" s="1"/>
      <c r="H52" s="1" t="s">
        <v>20</v>
      </c>
      <c r="I52" s="9"/>
    </row>
    <row r="53" spans="1:17" x14ac:dyDescent="0.25">
      <c r="A53" s="1"/>
      <c r="B53" s="1"/>
      <c r="C53" s="1"/>
      <c r="D53" s="1"/>
      <c r="E53" s="1"/>
      <c r="F53" s="1"/>
      <c r="G53" s="1"/>
      <c r="H53" s="1"/>
      <c r="I53" s="9"/>
    </row>
    <row r="54" spans="1:17" x14ac:dyDescent="0.25">
      <c r="A54" s="1"/>
      <c r="B54" s="1"/>
      <c r="C54" s="1"/>
      <c r="D54" s="1"/>
      <c r="E54" s="1"/>
      <c r="F54" s="1"/>
      <c r="G54" s="1"/>
      <c r="H54" s="1"/>
      <c r="I54" s="9"/>
    </row>
    <row r="55" spans="1:17" x14ac:dyDescent="0.25">
      <c r="A55" s="1"/>
      <c r="B55" s="1"/>
      <c r="C55" s="1"/>
      <c r="D55" s="1"/>
      <c r="E55" s="1"/>
      <c r="F55" s="1"/>
      <c r="G55" s="1"/>
      <c r="H55" s="1"/>
      <c r="I55" s="9"/>
    </row>
    <row r="56" spans="1:17" x14ac:dyDescent="0.25">
      <c r="A56" s="1"/>
      <c r="B56" s="1"/>
      <c r="C56" s="1"/>
      <c r="D56" s="1"/>
      <c r="E56" s="1"/>
      <c r="F56" s="1"/>
      <c r="G56" s="1"/>
      <c r="H56" s="1"/>
      <c r="I56" s="9"/>
    </row>
    <row r="57" spans="1:17" ht="39" customHeight="1" x14ac:dyDescent="0.25">
      <c r="A57" s="124" t="s">
        <v>21</v>
      </c>
      <c r="B57" s="124"/>
      <c r="C57" s="124"/>
      <c r="D57" s="124"/>
      <c r="E57" s="124"/>
      <c r="F57" s="124"/>
      <c r="G57" s="124"/>
      <c r="H57" s="124"/>
      <c r="I57" s="124"/>
    </row>
    <row r="59" spans="1:17" x14ac:dyDescent="0.25">
      <c r="Q59" t="s">
        <v>20</v>
      </c>
    </row>
  </sheetData>
  <sheetProtection password="CEC7" sheet="1" objects="1" scenarios="1"/>
  <mergeCells count="35">
    <mergeCell ref="G13:G14"/>
    <mergeCell ref="B29:I29"/>
    <mergeCell ref="A57:I57"/>
    <mergeCell ref="B31:I35"/>
    <mergeCell ref="B47:C47"/>
    <mergeCell ref="B48:C48"/>
    <mergeCell ref="B49:C49"/>
    <mergeCell ref="B50:C50"/>
    <mergeCell ref="I39:I40"/>
    <mergeCell ref="D39:D40"/>
    <mergeCell ref="E39:E40"/>
    <mergeCell ref="F39:F40"/>
    <mergeCell ref="G39:G40"/>
    <mergeCell ref="H39:H40"/>
    <mergeCell ref="E5:G5"/>
    <mergeCell ref="E6:G6"/>
    <mergeCell ref="E7:G7"/>
    <mergeCell ref="B28:D28"/>
    <mergeCell ref="B18:D18"/>
    <mergeCell ref="B17:D17"/>
    <mergeCell ref="B26:D26"/>
    <mergeCell ref="B27:D27"/>
    <mergeCell ref="B19:D19"/>
    <mergeCell ref="B8:I8"/>
    <mergeCell ref="H13:H14"/>
    <mergeCell ref="I13:I14"/>
    <mergeCell ref="B20:D20"/>
    <mergeCell ref="E13:E14"/>
    <mergeCell ref="B13:D14"/>
    <mergeCell ref="F13:F14"/>
    <mergeCell ref="I1:I2"/>
    <mergeCell ref="H1:H2"/>
    <mergeCell ref="G1:G2"/>
    <mergeCell ref="B1:F2"/>
    <mergeCell ref="E4:G4"/>
  </mergeCells>
  <phoneticPr fontId="21" type="noConversion"/>
  <conditionalFormatting sqref="B29:I29">
    <cfRule type="expression" dxfId="2" priority="9">
      <formula>NOT(ISBLANK($B$31))</formula>
    </cfRule>
  </conditionalFormatting>
  <conditionalFormatting sqref="E13:I14">
    <cfRule type="containsText" dxfId="1" priority="2" operator="containsText" text="Rollex">
      <formula>NOT(ISERROR(SEARCH("Rollex",E13)))</formula>
    </cfRule>
  </conditionalFormatting>
  <conditionalFormatting sqref="E15:I15">
    <cfRule type="containsText" dxfId="0" priority="1" operator="containsText" text="Afgerond">
      <formula>NOT(ISERROR(SEARCH("Afgerond",E15)))</formula>
    </cfRule>
  </conditionalFormatting>
  <pageMargins left="0.23622047244094491" right="0.23622047244094491" top="0.27559055118110237" bottom="0.19685039370078741" header="0.31496062992125984" footer="0.31496062992125984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8">
        <x14:dataValidation type="list" showInputMessage="1" xr:uid="{00000000-0002-0000-0000-000001000000}">
          <x14:formula1>
            <xm:f>Bron!$C$2:$C$7</xm:f>
          </x14:formula1>
          <xm:sqref>E22:I22</xm:sqref>
        </x14:dataValidation>
        <x14:dataValidation type="list" showInputMessage="1" xr:uid="{00000000-0002-0000-0000-000002000000}">
          <x14:formula1>
            <xm:f>Bron!$D$2:$D$7</xm:f>
          </x14:formula1>
          <xm:sqref>E23:I23</xm:sqref>
        </x14:dataValidation>
        <x14:dataValidation type="list" showInputMessage="1" xr:uid="{00000000-0002-0000-0000-000003000000}">
          <x14:formula1>
            <xm:f>Bron!$E$2:$E$8</xm:f>
          </x14:formula1>
          <xm:sqref>E24:I24</xm:sqref>
        </x14:dataValidation>
        <x14:dataValidation type="list" showInputMessage="1" xr:uid="{00000000-0002-0000-0000-000004000000}">
          <x14:formula1>
            <xm:f>Bron!$F$2:$F$4</xm:f>
          </x14:formula1>
          <xm:sqref>E25:I25</xm:sqref>
        </x14:dataValidation>
        <x14:dataValidation type="list" showInputMessage="1" xr:uid="{00000000-0002-0000-0000-000009000000}">
          <x14:formula1>
            <xm:f>Bron!$K$2:$K$4</xm:f>
          </x14:formula1>
          <xm:sqref>E26:I27</xm:sqref>
        </x14:dataValidation>
        <x14:dataValidation type="list" showInputMessage="1" xr:uid="{00000000-0002-0000-0000-00000B000000}">
          <x14:formula1>
            <xm:f>kastvorm!$E$2:$E$4</xm:f>
          </x14:formula1>
          <xm:sqref>I15</xm:sqref>
        </x14:dataValidation>
        <x14:dataValidation type="list" showInputMessage="1" xr:uid="{00000000-0002-0000-0000-000006000000}">
          <x14:formula1>
            <xm:f>kastmaat!$E$2:$E$8</xm:f>
          </x14:formula1>
          <xm:sqref>I16</xm:sqref>
        </x14:dataValidation>
        <x14:dataValidation type="list" showInputMessage="1" xr:uid="{35B06938-BE6B-4971-9623-642BE0763E40}">
          <x14:formula1>
            <xm:f>kastmaat!$A$2:$A$8</xm:f>
          </x14:formula1>
          <xm:sqref>E16</xm:sqref>
        </x14:dataValidation>
        <x14:dataValidation type="list" showInputMessage="1" xr:uid="{53DC66B4-D9DF-4533-8DB3-1B7DAC875C82}">
          <x14:formula1>
            <xm:f>kastmaat!$B$2:$B$8</xm:f>
          </x14:formula1>
          <xm:sqref>F16</xm:sqref>
        </x14:dataValidation>
        <x14:dataValidation type="list" showInputMessage="1" xr:uid="{54734435-BDCA-4D3C-B35E-C4E390B26CDB}">
          <x14:formula1>
            <xm:f>kastmaat!$C$2:$C$8</xm:f>
          </x14:formula1>
          <xm:sqref>G16</xm:sqref>
        </x14:dataValidation>
        <x14:dataValidation type="list" showInputMessage="1" xr:uid="{A431866D-D40E-4CF3-BE8F-CD6C907927E1}">
          <x14:formula1>
            <xm:f>kastmaat!$D$2:$D$8</xm:f>
          </x14:formula1>
          <xm:sqref>H16</xm:sqref>
        </x14:dataValidation>
        <x14:dataValidation type="list" allowBlank="1" showInputMessage="1" xr:uid="{00000000-0002-0000-0000-000000000000}">
          <x14:formula1>
            <xm:f>geleiders!$E$2:$E$8</xm:f>
          </x14:formula1>
          <xm:sqref>I18:I19</xm:sqref>
        </x14:dataValidation>
        <x14:dataValidation type="list" allowBlank="1" showInputMessage="1" xr:uid="{00000000-0002-0000-0000-00000D000000}">
          <x14:formula1>
            <xm:f>geleiders!$A$2:$A$8</xm:f>
          </x14:formula1>
          <xm:sqref>E18:E19</xm:sqref>
        </x14:dataValidation>
        <x14:dataValidation type="list" allowBlank="1" showInputMessage="1" xr:uid="{48FF8548-5AC5-4A87-883D-A6629A2120F8}">
          <x14:formula1>
            <xm:f>geleiders!$B$2:$B$8</xm:f>
          </x14:formula1>
          <xm:sqref>F18:F19</xm:sqref>
        </x14:dataValidation>
        <x14:dataValidation type="list" allowBlank="1" showInputMessage="1" xr:uid="{264C968E-2B8E-4F82-8C08-7E21E67C7C1F}">
          <x14:formula1>
            <xm:f>geleiders!$C$2:$C$8</xm:f>
          </x14:formula1>
          <xm:sqref>G18:G19</xm:sqref>
        </x14:dataValidation>
        <x14:dataValidation type="list" allowBlank="1" showInputMessage="1" xr:uid="{935685AD-E010-4BC8-8D1E-28F9B6E7B89D}">
          <x14:formula1>
            <xm:f>geleiders!$D$2:$D$8</xm:f>
          </x14:formula1>
          <xm:sqref>H18:H19</xm:sqref>
        </x14:dataValidation>
        <x14:dataValidation type="list" allowBlank="1" showInputMessage="1" xr:uid="{00000000-0002-0000-0000-000007000000}">
          <x14:formula1>
            <xm:f>Pantser!$E$2:$E$26</xm:f>
          </x14:formula1>
          <xm:sqref>I20</xm:sqref>
        </x14:dataValidation>
        <x14:dataValidation type="list" allowBlank="1" showInputMessage="1" xr:uid="{00000000-0002-0000-0000-00000C000000}">
          <x14:formula1>
            <xm:f>Pantser!$A$2:$A$26</xm:f>
          </x14:formula1>
          <xm:sqref>E20</xm:sqref>
        </x14:dataValidation>
        <x14:dataValidation type="list" allowBlank="1" showInputMessage="1" xr:uid="{F0ABF109-BE96-42C5-9D96-65A7DB11A0BC}">
          <x14:formula1>
            <xm:f>Pantser!$B$2:$B$26</xm:f>
          </x14:formula1>
          <xm:sqref>F20</xm:sqref>
        </x14:dataValidation>
        <x14:dataValidation type="list" allowBlank="1" showInputMessage="1" xr:uid="{0221B5E5-DDCD-4386-97C0-D6D6BF8CE688}">
          <x14:formula1>
            <xm:f>Pantser!$C$2:$C$26</xm:f>
          </x14:formula1>
          <xm:sqref>G20</xm:sqref>
        </x14:dataValidation>
        <x14:dataValidation type="list" allowBlank="1" showInputMessage="1" xr:uid="{6C215B6D-5053-4029-A27E-BA82B4CE579D}">
          <x14:formula1>
            <xm:f>Pantser!$D$2:$D$26</xm:f>
          </x14:formula1>
          <xm:sqref>H20</xm:sqref>
        </x14:dataValidation>
        <x14:dataValidation type="list" showInputMessage="1" xr:uid="{00000000-0002-0000-0000-00000A000000}">
          <x14:formula1>
            <xm:f>Bron!$A$2:$A$11</xm:f>
          </x14:formula1>
          <xm:sqref>E13:I13</xm:sqref>
        </x14:dataValidation>
        <x14:dataValidation type="list" showInputMessage="1" xr:uid="{BAF6EDCF-EA73-4D98-8214-97B6C9456CEC}">
          <x14:formula1>
            <xm:f>kastvorm!$A$2:$A$4</xm:f>
          </x14:formula1>
          <xm:sqref>E15</xm:sqref>
        </x14:dataValidation>
        <x14:dataValidation type="list" showInputMessage="1" xr:uid="{7535BE82-9EDF-4DE6-87FB-50FD1B4DB5FD}">
          <x14:formula1>
            <xm:f>kastvorm!$B$2:$B$4</xm:f>
          </x14:formula1>
          <xm:sqref>F15</xm:sqref>
        </x14:dataValidation>
        <x14:dataValidation type="list" showInputMessage="1" xr:uid="{4DA228EC-1C1D-4CF5-9282-446E8A1C49B2}">
          <x14:formula1>
            <xm:f>kastvorm!$C$2:$C$4</xm:f>
          </x14:formula1>
          <xm:sqref>G15</xm:sqref>
        </x14:dataValidation>
        <x14:dataValidation type="list" showInputMessage="1" xr:uid="{EB068388-6007-43D2-A46E-2C95F4737296}">
          <x14:formula1>
            <xm:f>kastvorm!$D$2:$D$4</xm:f>
          </x14:formula1>
          <xm:sqref>H15</xm:sqref>
        </x14:dataValidation>
        <x14:dataValidation type="list" showInputMessage="1" xr:uid="{BE7899B8-C31E-42EE-AB89-6B597892B97D}">
          <x14:formula1>
            <xm:f>Bron!$B$2:$B$7</xm:f>
          </x14:formula1>
          <xm:sqref>E21:I21</xm:sqref>
        </x14:dataValidation>
        <x14:dataValidation type="list" showInputMessage="1" xr:uid="{A52698D5-64E6-42ED-8A4C-AB6AA730BA42}">
          <x14:formula1>
            <xm:f>Bron!$H$2:$H$5</xm:f>
          </x14:formula1>
          <xm:sqref>E28:I28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1:V18"/>
  <sheetViews>
    <sheetView workbookViewId="0">
      <selection activeCell="B7" sqref="B7"/>
    </sheetView>
  </sheetViews>
  <sheetFormatPr defaultRowHeight="15" x14ac:dyDescent="0.25"/>
  <cols>
    <col min="1" max="1" width="18.85546875" customWidth="1"/>
    <col min="2" max="2" width="15.140625" bestFit="1" customWidth="1"/>
    <col min="3" max="3" width="12.85546875" bestFit="1" customWidth="1"/>
    <col min="4" max="4" width="12.7109375" bestFit="1" customWidth="1"/>
    <col min="5" max="5" width="12" bestFit="1" customWidth="1"/>
    <col min="6" max="6" width="15.42578125" customWidth="1"/>
    <col min="7" max="7" width="9.85546875" bestFit="1" customWidth="1"/>
    <col min="8" max="8" width="8.140625" bestFit="1" customWidth="1"/>
    <col min="9" max="9" width="10.5703125" bestFit="1" customWidth="1"/>
    <col min="11" max="11" width="9.85546875" bestFit="1" customWidth="1"/>
  </cols>
  <sheetData>
    <row r="1" spans="1:22" ht="33.75" customHeight="1" x14ac:dyDescent="0.25">
      <c r="A1" t="s">
        <v>116</v>
      </c>
      <c r="B1" t="s">
        <v>18</v>
      </c>
    </row>
    <row r="2" spans="1:22" x14ac:dyDescent="0.25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</row>
    <row r="3" spans="1:22" ht="30" x14ac:dyDescent="0.25">
      <c r="A3" s="37" t="s">
        <v>22</v>
      </c>
      <c r="B3" t="s">
        <v>56</v>
      </c>
      <c r="C3" t="s">
        <v>36</v>
      </c>
      <c r="D3" t="s">
        <v>40</v>
      </c>
      <c r="E3" s="37" t="s">
        <v>40</v>
      </c>
      <c r="F3" t="s">
        <v>49</v>
      </c>
      <c r="G3" t="s">
        <v>51</v>
      </c>
      <c r="H3" t="s">
        <v>53</v>
      </c>
      <c r="J3" t="s">
        <v>56</v>
      </c>
      <c r="K3" t="s">
        <v>66</v>
      </c>
    </row>
    <row r="4" spans="1:22" ht="30" x14ac:dyDescent="0.25">
      <c r="A4" s="37" t="s">
        <v>23</v>
      </c>
      <c r="B4" t="s">
        <v>35</v>
      </c>
      <c r="C4" t="s">
        <v>37</v>
      </c>
      <c r="D4" t="s">
        <v>41</v>
      </c>
      <c r="E4" t="s">
        <v>45</v>
      </c>
      <c r="F4" t="s">
        <v>50</v>
      </c>
      <c r="G4" t="s">
        <v>52</v>
      </c>
      <c r="H4" t="s">
        <v>54</v>
      </c>
      <c r="I4" s="37"/>
      <c r="J4" t="s">
        <v>33</v>
      </c>
      <c r="K4" t="s">
        <v>67</v>
      </c>
    </row>
    <row r="5" spans="1:22" ht="45" x14ac:dyDescent="0.25">
      <c r="B5" t="s">
        <v>34</v>
      </c>
      <c r="D5" t="s">
        <v>42</v>
      </c>
      <c r="E5" t="s">
        <v>46</v>
      </c>
      <c r="H5" s="37" t="s">
        <v>55</v>
      </c>
      <c r="J5" t="s">
        <v>34</v>
      </c>
    </row>
    <row r="6" spans="1:22" ht="30" x14ac:dyDescent="0.25">
      <c r="A6" s="37" t="s">
        <v>69</v>
      </c>
      <c r="C6" t="s">
        <v>38</v>
      </c>
      <c r="D6" t="s">
        <v>43</v>
      </c>
      <c r="E6" t="s">
        <v>47</v>
      </c>
      <c r="J6" t="s">
        <v>35</v>
      </c>
    </row>
    <row r="7" spans="1:22" ht="30" x14ac:dyDescent="0.25">
      <c r="A7" s="37" t="s">
        <v>70</v>
      </c>
      <c r="B7" t="s">
        <v>125</v>
      </c>
      <c r="C7" t="s">
        <v>39</v>
      </c>
      <c r="D7" t="s">
        <v>44</v>
      </c>
      <c r="E7" t="s">
        <v>48</v>
      </c>
    </row>
    <row r="8" spans="1:22" x14ac:dyDescent="0.25">
      <c r="A8" s="37"/>
      <c r="E8" t="s">
        <v>122</v>
      </c>
      <c r="J8" t="s">
        <v>119</v>
      </c>
    </row>
    <row r="9" spans="1:22" ht="30" x14ac:dyDescent="0.25">
      <c r="A9" s="37" t="s">
        <v>24</v>
      </c>
      <c r="J9" t="s">
        <v>118</v>
      </c>
    </row>
    <row r="10" spans="1:22" ht="30" x14ac:dyDescent="0.25">
      <c r="A10" s="37" t="s">
        <v>25</v>
      </c>
      <c r="B10" t="s">
        <v>120</v>
      </c>
    </row>
    <row r="11" spans="1:22" ht="30" x14ac:dyDescent="0.25">
      <c r="A11" s="37" t="s">
        <v>26</v>
      </c>
      <c r="B11" t="s">
        <v>118</v>
      </c>
    </row>
    <row r="14" spans="1:22" x14ac:dyDescent="0.25">
      <c r="C14" t="s">
        <v>20</v>
      </c>
    </row>
    <row r="15" spans="1:22" x14ac:dyDescent="0.25">
      <c r="A15" s="137" t="s">
        <v>117</v>
      </c>
      <c r="B15" s="137"/>
      <c r="C15" s="137"/>
      <c r="D15" s="137"/>
      <c r="E15" s="137"/>
    </row>
    <row r="18" spans="1:1" x14ac:dyDescent="0.25">
      <c r="A18" t="s">
        <v>20</v>
      </c>
    </row>
  </sheetData>
  <mergeCells count="1">
    <mergeCell ref="A15:E1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D9E21-8504-4571-8884-F1FA8874A091}">
  <dimension ref="A1:L32"/>
  <sheetViews>
    <sheetView workbookViewId="0">
      <selection activeCell="J12" sqref="J12"/>
    </sheetView>
  </sheetViews>
  <sheetFormatPr defaultRowHeight="15" x14ac:dyDescent="0.25"/>
  <cols>
    <col min="1" max="12" width="20.7109375" customWidth="1"/>
  </cols>
  <sheetData>
    <row r="1" spans="1:12" ht="30" x14ac:dyDescent="0.25">
      <c r="A1" s="71" t="s">
        <v>109</v>
      </c>
      <c r="B1" s="71" t="s">
        <v>110</v>
      </c>
      <c r="C1" s="71" t="s">
        <v>111</v>
      </c>
      <c r="D1" s="71" t="s">
        <v>112</v>
      </c>
      <c r="E1" s="71" t="s">
        <v>113</v>
      </c>
      <c r="F1" s="79" t="str">
        <f>Bron!A3</f>
        <v>Ecoroll L
42mm lamel</v>
      </c>
      <c r="G1" s="80" t="str">
        <f>Bron!A4</f>
        <v>Ecoroll M
37mm lamel</v>
      </c>
      <c r="H1" s="80" t="str">
        <f>Bron!A9</f>
        <v>EcoRoll XL52
52mm lamel</v>
      </c>
      <c r="I1" s="80" t="str">
        <f>Bron!A10</f>
        <v>EcoRoll XL55
55mm lamel</v>
      </c>
      <c r="J1" s="80" t="str">
        <f>Bron!A11</f>
        <v>EcoRoll XXL77
77mm lamel</v>
      </c>
      <c r="K1" s="80" t="str">
        <f>Bron!A6</f>
        <v>Rollex L 
42mm lamel</v>
      </c>
      <c r="L1" s="81" t="str">
        <f>Bron!A7</f>
        <v>Rollex M
37mm lamel</v>
      </c>
    </row>
    <row r="2" spans="1:12" x14ac:dyDescent="0.25">
      <c r="A2" s="36"/>
      <c r="B2" s="36"/>
      <c r="C2" s="36"/>
      <c r="D2" s="36"/>
      <c r="E2" s="36"/>
      <c r="F2" s="72"/>
      <c r="G2" s="73"/>
      <c r="H2" s="73"/>
      <c r="I2" s="73"/>
      <c r="J2" s="73"/>
      <c r="K2" s="73"/>
      <c r="L2" s="74"/>
    </row>
    <row r="3" spans="1:12" x14ac:dyDescent="0.25">
      <c r="A3" t="str">
        <f>_xlfn.IFNA(IF(HLOOKUP(InvoerRolluik!$E$13,kastmaat!F$1:L$49,ROW(A3),TRUE)=0,"", HLOOKUP(InvoerRolluik!$E$13,kastmaat!F$1:L$49,ROW(A3),TRUE)),"")</f>
        <v/>
      </c>
      <c r="B3" t="str">
        <f>_xlfn.IFNA(IF(HLOOKUP(InvoerRolluik!$F$13,kastmaat!F$1:L$49,ROW(B3),TRUE)=0,"", HLOOKUP(InvoerRolluik!$F$13,kastmaat!F$1:L$49,ROW(B3),TRUE)),"")</f>
        <v/>
      </c>
      <c r="C3" t="str">
        <f>_xlfn.IFNA(IF(HLOOKUP(InvoerRolluik!$G$13,kastmaat!F$1:L$49,ROW(C3),TRUE)=0,"", HLOOKUP(InvoerRolluik!$G$13,kastmaat!F$1:L$49,ROW(C3),TRUE)),"")</f>
        <v/>
      </c>
      <c r="D3" t="str">
        <f>_xlfn.IFNA(IF(HLOOKUP(InvoerRolluik!$H$13,kastmaat!F$1:L$49,ROW(D3),TRUE)=0,"", HLOOKUP(InvoerRolluik!$H$13,kastmaat!F$1:L$49,ROW(D3),TRUE)),"")</f>
        <v/>
      </c>
      <c r="E3" t="str">
        <f>_xlfn.IFNA(IF(HLOOKUP(InvoerRolluik!$I$13,kastmaat!F$1:L$49,ROW(E3),TRUE)=0,"", HLOOKUP(InvoerRolluik!$I$13,kastmaat!F$1:L$49,ROW(E3),TRUE)),"")</f>
        <v/>
      </c>
      <c r="F3" s="75">
        <v>150</v>
      </c>
      <c r="G3" s="16">
        <v>150</v>
      </c>
      <c r="H3" s="16">
        <v>180</v>
      </c>
      <c r="I3" s="16">
        <v>180</v>
      </c>
      <c r="J3" s="16">
        <v>180</v>
      </c>
      <c r="K3" s="16">
        <v>150</v>
      </c>
      <c r="L3" s="76">
        <v>150</v>
      </c>
    </row>
    <row r="4" spans="1:12" x14ac:dyDescent="0.25">
      <c r="A4" t="str">
        <f>_xlfn.IFNA(IF(HLOOKUP(InvoerRolluik!$E$13,kastmaat!F$1:L$49,ROW(A4),TRUE)=0,"", HLOOKUP(InvoerRolluik!$E$13,kastmaat!F$1:L$49,ROW(A4),TRUE)),"")</f>
        <v/>
      </c>
      <c r="B4" t="str">
        <f>_xlfn.IFNA(IF(HLOOKUP(InvoerRolluik!$F$13,kastmaat!F$1:L$49,ROW(B4),TRUE)=0,"", HLOOKUP(InvoerRolluik!$F$13,kastmaat!F$1:L$49,ROW(B4),TRUE)),"")</f>
        <v/>
      </c>
      <c r="C4" t="str">
        <f>_xlfn.IFNA(IF(HLOOKUP(InvoerRolluik!$G$13,kastmaat!F$1:L$49,ROW(C4),TRUE)=0,"", HLOOKUP(InvoerRolluik!$G$13,kastmaat!F$1:L$49,ROW(C4),TRUE)),"")</f>
        <v/>
      </c>
      <c r="D4" t="str">
        <f>_xlfn.IFNA(IF(HLOOKUP(InvoerRolluik!$H$13,kastmaat!F$1:L$49,ROW(D4),TRUE)=0,"", HLOOKUP(InvoerRolluik!$H$13,kastmaat!F$1:L$49,ROW(D4),TRUE)),"")</f>
        <v/>
      </c>
      <c r="E4" t="str">
        <f>_xlfn.IFNA(IF(HLOOKUP(InvoerRolluik!$I$13,kastmaat!F$1:L$49,ROW(E4),TRUE)=0,"", HLOOKUP(InvoerRolluik!$I$13,kastmaat!F$1:L$49,ROW(E4),TRUE)),"")</f>
        <v/>
      </c>
      <c r="F4" s="75">
        <v>165</v>
      </c>
      <c r="G4" s="16">
        <v>165</v>
      </c>
      <c r="H4" s="16">
        <v>205</v>
      </c>
      <c r="I4" s="16">
        <v>205</v>
      </c>
      <c r="J4" s="16">
        <v>205</v>
      </c>
      <c r="K4" s="16">
        <v>165</v>
      </c>
      <c r="L4" s="76">
        <v>165</v>
      </c>
    </row>
    <row r="5" spans="1:12" x14ac:dyDescent="0.25">
      <c r="A5" t="str">
        <f>_xlfn.IFNA(IF(HLOOKUP(InvoerRolluik!$E$13,kastmaat!F$1:L$49,ROW(A5),TRUE)=0,"", HLOOKUP(InvoerRolluik!$E$13,kastmaat!F$1:L$49,ROW(A5),TRUE)),"")</f>
        <v/>
      </c>
      <c r="B5" t="str">
        <f>_xlfn.IFNA(IF(HLOOKUP(InvoerRolluik!$F$13,kastmaat!F$1:L$49,ROW(B5),TRUE)=0,"", HLOOKUP(InvoerRolluik!$F$13,kastmaat!F$1:L$49,ROW(B5),TRUE)),"")</f>
        <v/>
      </c>
      <c r="C5" t="str">
        <f>_xlfn.IFNA(IF(HLOOKUP(InvoerRolluik!$G$13,kastmaat!F$1:L$49,ROW(C5),TRUE)=0,"", HLOOKUP(InvoerRolluik!$G$13,kastmaat!F$1:L$49,ROW(C5),TRUE)),"")</f>
        <v/>
      </c>
      <c r="D5" t="str">
        <f>_xlfn.IFNA(IF(HLOOKUP(InvoerRolluik!$H$13,kastmaat!F$1:L$49,ROW(D5),TRUE)=0,"", HLOOKUP(InvoerRolluik!$H$13,kastmaat!F$1:L$49,ROW(D5),TRUE)),"")</f>
        <v/>
      </c>
      <c r="E5" t="str">
        <f>_xlfn.IFNA(IF(HLOOKUP(InvoerRolluik!$I$13,kastmaat!F$1:L$49,ROW(E5),TRUE)=0,"", HLOOKUP(InvoerRolluik!$I$13,kastmaat!F$1:L$49,ROW(E5),TRUE)),"")</f>
        <v/>
      </c>
      <c r="F5" s="75">
        <v>180</v>
      </c>
      <c r="G5" s="16">
        <v>180</v>
      </c>
      <c r="H5" s="16">
        <v>230</v>
      </c>
      <c r="I5" s="16">
        <v>230</v>
      </c>
      <c r="J5" s="16">
        <v>230</v>
      </c>
      <c r="K5" s="16">
        <v>180</v>
      </c>
      <c r="L5" s="76">
        <v>180</v>
      </c>
    </row>
    <row r="6" spans="1:12" x14ac:dyDescent="0.25">
      <c r="A6" t="str">
        <f>_xlfn.IFNA(IF(HLOOKUP(InvoerRolluik!$E$13,kastmaat!F$1:L$49,ROW(A6),TRUE)=0,"", HLOOKUP(InvoerRolluik!$E$13,kastmaat!F$1:L$49,ROW(A6),TRUE)),"")</f>
        <v/>
      </c>
      <c r="B6" t="str">
        <f>_xlfn.IFNA(IF(HLOOKUP(InvoerRolluik!$F$13,kastmaat!F$1:L$49,ROW(B6),TRUE)=0,"", HLOOKUP(InvoerRolluik!$F$13,kastmaat!F$1:L$49,ROW(B6),TRUE)),"")</f>
        <v/>
      </c>
      <c r="C6" t="str">
        <f>_xlfn.IFNA(IF(HLOOKUP(InvoerRolluik!$G$13,kastmaat!F$1:L$49,ROW(C6),TRUE)=0,"", HLOOKUP(InvoerRolluik!$G$13,kastmaat!F$1:L$49,ROW(C6),TRUE)),"")</f>
        <v/>
      </c>
      <c r="D6" t="str">
        <f>_xlfn.IFNA(IF(HLOOKUP(InvoerRolluik!$H$13,kastmaat!F$1:L$49,ROW(D6),TRUE)=0,"", HLOOKUP(InvoerRolluik!$H$13,kastmaat!F$1:L$49,ROW(D6),TRUE)),"")</f>
        <v/>
      </c>
      <c r="E6" t="str">
        <f>_xlfn.IFNA(IF(HLOOKUP(InvoerRolluik!$I$13,kastmaat!F$1:L$49,ROW(E6),TRUE)=0,"", HLOOKUP(InvoerRolluik!$I$13,kastmaat!F$1:L$49,ROW(E6),TRUE)),"")</f>
        <v/>
      </c>
      <c r="F6" s="75">
        <v>205</v>
      </c>
      <c r="G6" s="16">
        <v>205</v>
      </c>
      <c r="H6" s="16">
        <v>250</v>
      </c>
      <c r="I6" s="16">
        <v>250</v>
      </c>
      <c r="J6" s="16">
        <v>250</v>
      </c>
      <c r="K6" s="16">
        <v>205</v>
      </c>
      <c r="L6" s="76">
        <v>205</v>
      </c>
    </row>
    <row r="7" spans="1:12" x14ac:dyDescent="0.25">
      <c r="A7" t="str">
        <f>_xlfn.IFNA(IF(HLOOKUP(InvoerRolluik!$E$13,kastmaat!F$1:L$49,ROW(A7),TRUE)=0,"", HLOOKUP(InvoerRolluik!$E$13,kastmaat!F$1:L$49,ROW(A7),TRUE)),"")</f>
        <v/>
      </c>
      <c r="B7" t="str">
        <f>_xlfn.IFNA(IF(HLOOKUP(InvoerRolluik!$F$13,kastmaat!F$1:L$49,ROW(B7),TRUE)=0,"", HLOOKUP(InvoerRolluik!$F$13,kastmaat!F$1:L$49,ROW(B7),TRUE)),"")</f>
        <v/>
      </c>
      <c r="C7" t="str">
        <f>_xlfn.IFNA(IF(HLOOKUP(InvoerRolluik!$G$13,kastmaat!F$1:L$49,ROW(C7),TRUE)=0,"", HLOOKUP(InvoerRolluik!$G$13,kastmaat!F$1:L$49,ROW(C7),TRUE)),"")</f>
        <v/>
      </c>
      <c r="D7" t="str">
        <f>_xlfn.IFNA(IF(HLOOKUP(InvoerRolluik!$H$13,kastmaat!F$1:L$49,ROW(D7),TRUE)=0,"", HLOOKUP(InvoerRolluik!$H$13,kastmaat!F$1:L$49,ROW(D7),TRUE)),"")</f>
        <v/>
      </c>
      <c r="E7" t="str">
        <f>_xlfn.IFNA(IF(HLOOKUP(InvoerRolluik!$I$13,kastmaat!F$1:L$49,ROW(E7),TRUE)=0,"", HLOOKUP(InvoerRolluik!$I$13,kastmaat!F$1:L$49,ROW(E7),TRUE)),"")</f>
        <v/>
      </c>
      <c r="F7" s="75"/>
      <c r="G7" s="16"/>
      <c r="H7" s="16">
        <v>300</v>
      </c>
      <c r="I7" s="16">
        <v>300</v>
      </c>
      <c r="J7" s="16">
        <v>300</v>
      </c>
      <c r="K7" s="16"/>
      <c r="L7" s="76"/>
    </row>
    <row r="8" spans="1:12" x14ac:dyDescent="0.25">
      <c r="A8" t="str">
        <f>_xlfn.IFNA(IF(HLOOKUP(InvoerRolluik!$E$13,kastmaat!F$1:L$49,ROW(A8),TRUE)=0,"", HLOOKUP(InvoerRolluik!$E$13,kastmaat!F$1:L$49,ROW(A8),TRUE)),"")</f>
        <v/>
      </c>
      <c r="B8" t="str">
        <f>_xlfn.IFNA(IF(HLOOKUP(InvoerRolluik!$F$13,kastmaat!F$1:L$49,ROW(B8),TRUE)=0,"", HLOOKUP(InvoerRolluik!$F$13,kastmaat!F$1:L$49,ROW(B8),TRUE)),"")</f>
        <v/>
      </c>
      <c r="C8" t="str">
        <f>_xlfn.IFNA(IF(HLOOKUP(InvoerRolluik!$G$13,kastmaat!F$1:L$49,ROW(C8),TRUE)=0,"", HLOOKUP(InvoerRolluik!$G$13,kastmaat!F$1:L$49,ROW(C8),TRUE)),"")</f>
        <v/>
      </c>
      <c r="D8" t="str">
        <f>_xlfn.IFNA(IF(HLOOKUP(InvoerRolluik!$H$13,kastmaat!F$1:L$49,ROW(D8),TRUE)=0,"", HLOOKUP(InvoerRolluik!$H$13,kastmaat!F$1:L$49,ROW(D8),TRUE)),"")</f>
        <v/>
      </c>
      <c r="E8" t="str">
        <f>_xlfn.IFNA(IF(HLOOKUP(InvoerRolluik!$I$13,kastmaat!F$1:L$49,ROW(E8),TRUE)=0,"", HLOOKUP(InvoerRolluik!$I$13,kastmaat!F$1:L$49,ROW(E8),TRUE)),"")</f>
        <v/>
      </c>
      <c r="F8" s="75"/>
      <c r="G8" s="16"/>
      <c r="H8" s="16">
        <v>360</v>
      </c>
      <c r="I8" s="16">
        <v>360</v>
      </c>
      <c r="J8" s="16">
        <v>360</v>
      </c>
      <c r="K8" s="16"/>
      <c r="L8" s="76"/>
    </row>
    <row r="9" spans="1:12" x14ac:dyDescent="0.25">
      <c r="A9" t="str">
        <f>_xlfn.IFNA(IF(HLOOKUP(InvoerRolluik!$E$13,kastmaat!F$1:L$49,ROW(A9),TRUE)=0,"", HLOOKUP(InvoerRolluik!$E$13,kastmaat!F$1:L$49,ROW(A9),TRUE)),"")</f>
        <v/>
      </c>
      <c r="B9" t="str">
        <f>_xlfn.IFNA(IF(HLOOKUP(InvoerRolluik!$F$13,kastmaat!F$1:L$49,ROW(B9),TRUE)=0,"", HLOOKUP(InvoerRolluik!$F$13,kastmaat!F$1:L$49,ROW(B9),TRUE)),"")</f>
        <v/>
      </c>
      <c r="C9" t="str">
        <f>_xlfn.IFNA(IF(HLOOKUP(InvoerRolluik!$G$13,kastmaat!F$1:L$49,ROW(C9),TRUE)=0,"", HLOOKUP(InvoerRolluik!$G$13,kastmaat!F$1:L$49,ROW(C9),TRUE)),"")</f>
        <v/>
      </c>
      <c r="D9" t="str">
        <f>_xlfn.IFNA(IF(HLOOKUP(InvoerRolluik!$H$13,kastmaat!F$1:L$49,ROW(D9),TRUE)=0,"", HLOOKUP(InvoerRolluik!$H$13,kastmaat!F$1:L$49,ROW(D9),TRUE)),"")</f>
        <v/>
      </c>
      <c r="E9" t="str">
        <f>_xlfn.IFNA(IF(HLOOKUP(InvoerRolluik!$I$13,kastmaat!F$1:L$49,ROW(E9),TRUE)=0,"", HLOOKUP(InvoerRolluik!$I$13,kastmaat!F$1:L$49,ROW(E9),TRUE)),"")</f>
        <v/>
      </c>
      <c r="F9" s="75"/>
      <c r="G9" s="16"/>
      <c r="H9" s="16"/>
      <c r="I9" s="16"/>
      <c r="J9" s="16"/>
      <c r="K9" s="16"/>
      <c r="L9" s="76"/>
    </row>
    <row r="10" spans="1:12" x14ac:dyDescent="0.25">
      <c r="A10" t="str">
        <f>_xlfn.IFNA(IF(HLOOKUP(InvoerRolluik!$E$13,kastmaat!F$1:L$49,ROW(A10),TRUE)=0,"", HLOOKUP(InvoerRolluik!$E$13,kastmaat!F$1:L$49,ROW(A10),TRUE)),"")</f>
        <v/>
      </c>
      <c r="B10" t="str">
        <f>_xlfn.IFNA(IF(HLOOKUP(InvoerRolluik!$F$13,kastmaat!F$1:L$49,ROW(B10),TRUE)=0,"", HLOOKUP(InvoerRolluik!$F$13,kastmaat!F$1:L$49,ROW(B10),TRUE)),"")</f>
        <v/>
      </c>
      <c r="C10" t="str">
        <f>_xlfn.IFNA(IF(HLOOKUP(InvoerRolluik!$G$13,kastmaat!F$1:L$49,ROW(C10),TRUE)=0,"", HLOOKUP(InvoerRolluik!$G$13,kastmaat!F$1:L$49,ROW(C10),TRUE)),"")</f>
        <v/>
      </c>
      <c r="D10" t="str">
        <f>_xlfn.IFNA(IF(HLOOKUP(InvoerRolluik!$H$13,kastmaat!F$1:L$49,ROW(D10),TRUE)=0,"", HLOOKUP(InvoerRolluik!$H$13,kastmaat!F$1:L$49,ROW(D10),TRUE)),"")</f>
        <v/>
      </c>
      <c r="E10" t="str">
        <f>_xlfn.IFNA(IF(HLOOKUP(InvoerRolluik!$I$13,kastmaat!F$1:L$49,ROW(E10),TRUE)=0,"", HLOOKUP(InvoerRolluik!$I$13,kastmaat!F$1:L$49,ROW(E10),TRUE)),"")</f>
        <v/>
      </c>
      <c r="F10" s="75"/>
      <c r="G10" s="16"/>
      <c r="H10" s="16"/>
      <c r="I10" s="16"/>
      <c r="J10" s="16"/>
      <c r="K10" s="16"/>
      <c r="L10" s="76"/>
    </row>
    <row r="11" spans="1:12" x14ac:dyDescent="0.25">
      <c r="A11" t="str">
        <f>_xlfn.IFNA(IF(HLOOKUP(InvoerRolluik!$E$13,kastmaat!F$1:L$49,ROW(A11),TRUE)=0,"", HLOOKUP(InvoerRolluik!$E$13,kastmaat!F$1:L$49,ROW(A11),TRUE)),"")</f>
        <v/>
      </c>
      <c r="B11" t="str">
        <f>_xlfn.IFNA(IF(HLOOKUP(InvoerRolluik!$F$13,kastmaat!F$1:L$49,ROW(B11),TRUE)=0,"", HLOOKUP(InvoerRolluik!$F$13,kastmaat!F$1:L$49,ROW(B11),TRUE)),"")</f>
        <v/>
      </c>
      <c r="C11" t="str">
        <f>_xlfn.IFNA(IF(HLOOKUP(InvoerRolluik!$G$13,kastmaat!F$1:L$49,ROW(C11),TRUE)=0,"", HLOOKUP(InvoerRolluik!$G$13,kastmaat!F$1:L$49,ROW(C11),TRUE)),"")</f>
        <v/>
      </c>
      <c r="D11" t="str">
        <f>_xlfn.IFNA(IF(HLOOKUP(InvoerRolluik!$H$13,kastmaat!F$1:L$49,ROW(D11),TRUE)=0,"", HLOOKUP(InvoerRolluik!$H$13,kastmaat!F$1:L$49,ROW(D11),TRUE)),"")</f>
        <v/>
      </c>
      <c r="E11" t="str">
        <f>_xlfn.IFNA(IF(HLOOKUP(InvoerRolluik!$I$13,kastmaat!F$1:L$49,ROW(E11),TRUE)=0,"", HLOOKUP(InvoerRolluik!$I$13,kastmaat!F$1:L$49,ROW(E11),TRUE)),"")</f>
        <v/>
      </c>
      <c r="F11" s="75"/>
      <c r="G11" s="16"/>
      <c r="H11" s="16"/>
      <c r="I11" s="16"/>
      <c r="J11" s="16"/>
      <c r="K11" s="16"/>
      <c r="L11" s="76"/>
    </row>
    <row r="12" spans="1:12" x14ac:dyDescent="0.25">
      <c r="A12" t="str">
        <f>_xlfn.IFNA(IF(HLOOKUP(InvoerRolluik!$E$13,kastmaat!F$1:L$49,ROW(A12),TRUE)=0,"", HLOOKUP(InvoerRolluik!$E$13,kastmaat!F$1:L$49,ROW(A12),TRUE)),"")</f>
        <v/>
      </c>
      <c r="B12" t="str">
        <f>_xlfn.IFNA(IF(HLOOKUP(InvoerRolluik!$F$13,kastmaat!F$1:L$49,ROW(B12),TRUE)=0,"", HLOOKUP(InvoerRolluik!$F$13,kastmaat!F$1:L$49,ROW(B12),TRUE)),"")</f>
        <v/>
      </c>
      <c r="C12" t="str">
        <f>_xlfn.IFNA(IF(HLOOKUP(InvoerRolluik!$G$13,kastmaat!F$1:L$49,ROW(C12),TRUE)=0,"", HLOOKUP(InvoerRolluik!$G$13,kastmaat!F$1:L$49,ROW(C12),TRUE)),"")</f>
        <v/>
      </c>
      <c r="D12" t="str">
        <f>_xlfn.IFNA(IF(HLOOKUP(InvoerRolluik!$H$13,kastmaat!F$1:L$49,ROW(D12),TRUE)=0,"", HLOOKUP(InvoerRolluik!$H$13,kastmaat!F$1:L$49,ROW(D12),TRUE)),"")</f>
        <v/>
      </c>
      <c r="E12" t="str">
        <f>_xlfn.IFNA(IF(HLOOKUP(InvoerRolluik!$I$13,kastmaat!F$1:L$49,ROW(E12),TRUE)=0,"", HLOOKUP(InvoerRolluik!$I$13,kastmaat!F$1:L$49,ROW(E12),TRUE)),"")</f>
        <v/>
      </c>
      <c r="F12" s="75"/>
      <c r="G12" s="16"/>
      <c r="H12" s="16"/>
      <c r="I12" s="16"/>
      <c r="J12" s="16"/>
      <c r="K12" s="16"/>
      <c r="L12" s="76"/>
    </row>
    <row r="13" spans="1:12" x14ac:dyDescent="0.25">
      <c r="A13" t="str">
        <f>_xlfn.IFNA(IF(HLOOKUP(InvoerRolluik!$E$13,kastmaat!F$1:L$49,ROW(A13),TRUE)=0,"", HLOOKUP(InvoerRolluik!$E$13,kastmaat!F$1:L$49,ROW(A13),TRUE)),"")</f>
        <v/>
      </c>
      <c r="B13" t="str">
        <f>_xlfn.IFNA(IF(HLOOKUP(InvoerRolluik!$F$13,kastmaat!F$1:L$49,ROW(B13),TRUE)=0,"", HLOOKUP(InvoerRolluik!$F$13,kastmaat!F$1:L$49,ROW(B13),TRUE)),"")</f>
        <v/>
      </c>
      <c r="C13" t="str">
        <f>_xlfn.IFNA(IF(HLOOKUP(InvoerRolluik!$G$13,kastmaat!F$1:L$49,ROW(C13),TRUE)=0,"", HLOOKUP(InvoerRolluik!$G$13,kastmaat!F$1:L$49,ROW(C13),TRUE)),"")</f>
        <v/>
      </c>
      <c r="D13" t="str">
        <f>_xlfn.IFNA(IF(HLOOKUP(InvoerRolluik!$H$13,kastmaat!F$1:L$49,ROW(D13),TRUE)=0,"", HLOOKUP(InvoerRolluik!$H$13,kastmaat!F$1:L$49,ROW(D13),TRUE)),"")</f>
        <v/>
      </c>
      <c r="E13" t="str">
        <f>_xlfn.IFNA(IF(HLOOKUP(InvoerRolluik!$I$13,kastmaat!F$1:L$49,ROW(E13),TRUE)=0,"", HLOOKUP(InvoerRolluik!$I$13,kastmaat!F$1:L$49,ROW(E13),TRUE)),"")</f>
        <v/>
      </c>
      <c r="F13" s="75"/>
      <c r="G13" s="16"/>
      <c r="H13" s="16"/>
      <c r="I13" s="16"/>
      <c r="J13" s="16"/>
      <c r="K13" s="16"/>
      <c r="L13" s="76"/>
    </row>
    <row r="14" spans="1:12" x14ac:dyDescent="0.25">
      <c r="A14" t="str">
        <f>_xlfn.IFNA(IF(HLOOKUP(InvoerRolluik!$E$13,kastmaat!F$1:L$49,ROW(A14),TRUE)=0,"", HLOOKUP(InvoerRolluik!$E$13,kastmaat!F$1:L$49,ROW(A14),TRUE)),"")</f>
        <v/>
      </c>
      <c r="B14" t="str">
        <f>_xlfn.IFNA(IF(HLOOKUP(InvoerRolluik!$F$13,kastmaat!F$1:L$49,ROW(B14),TRUE)=0,"", HLOOKUP(InvoerRolluik!$F$13,kastmaat!F$1:L$49,ROW(B14),TRUE)),"")</f>
        <v/>
      </c>
      <c r="C14" t="str">
        <f>_xlfn.IFNA(IF(HLOOKUP(InvoerRolluik!$G$13,kastmaat!F$1:L$49,ROW(C14),TRUE)=0,"", HLOOKUP(InvoerRolluik!$G$13,kastmaat!F$1:L$49,ROW(C14),TRUE)),"")</f>
        <v/>
      </c>
      <c r="D14" t="str">
        <f>_xlfn.IFNA(IF(HLOOKUP(InvoerRolluik!$H$13,kastmaat!F$1:L$49,ROW(D14),TRUE)=0,"", HLOOKUP(InvoerRolluik!$H$13,kastmaat!F$1:L$49,ROW(D14),TRUE)),"")</f>
        <v/>
      </c>
      <c r="E14" t="str">
        <f>_xlfn.IFNA(IF(HLOOKUP(InvoerRolluik!$I$13,kastmaat!F$1:L$49,ROW(E14),TRUE)=0,"", HLOOKUP(InvoerRolluik!$I$13,kastmaat!F$1:L$49,ROW(E14),TRUE)),"")</f>
        <v/>
      </c>
      <c r="F14" s="75"/>
      <c r="G14" s="16"/>
      <c r="H14" s="16"/>
      <c r="I14" s="16"/>
      <c r="J14" s="16"/>
      <c r="K14" s="16"/>
      <c r="L14" s="76"/>
    </row>
    <row r="15" spans="1:12" x14ac:dyDescent="0.25">
      <c r="A15" t="str">
        <f>_xlfn.IFNA(IF(HLOOKUP(InvoerRolluik!$E$13,kastmaat!F$1:L$49,ROW(A15),TRUE)=0,"", HLOOKUP(InvoerRolluik!$E$13,kastmaat!F$1:L$49,ROW(A15),TRUE)),"")</f>
        <v/>
      </c>
      <c r="B15" t="str">
        <f>_xlfn.IFNA(IF(HLOOKUP(InvoerRolluik!$F$13,kastmaat!F$1:L$49,ROW(B15),TRUE)=0,"", HLOOKUP(InvoerRolluik!$F$13,kastmaat!F$1:L$49,ROW(B15),TRUE)),"")</f>
        <v/>
      </c>
      <c r="C15" t="str">
        <f>_xlfn.IFNA(IF(HLOOKUP(InvoerRolluik!$G$13,kastmaat!F$1:L$49,ROW(C15),TRUE)=0,"", HLOOKUP(InvoerRolluik!$G$13,kastmaat!F$1:L$49,ROW(C15),TRUE)),"")</f>
        <v/>
      </c>
      <c r="D15" t="str">
        <f>_xlfn.IFNA(IF(HLOOKUP(InvoerRolluik!$H$13,kastmaat!F$1:L$49,ROW(D15),TRUE)=0,"", HLOOKUP(InvoerRolluik!$H$13,kastmaat!F$1:L$49,ROW(D15),TRUE)),"")</f>
        <v/>
      </c>
      <c r="E15" t="str">
        <f>_xlfn.IFNA(IF(HLOOKUP(InvoerRolluik!$I$13,kastmaat!F$1:L$49,ROW(E15),TRUE)=0,"", HLOOKUP(InvoerRolluik!$I$13,kastmaat!F$1:L$49,ROW(E15),TRUE)),"")</f>
        <v/>
      </c>
      <c r="F15" s="75"/>
      <c r="G15" s="16"/>
      <c r="H15" s="16"/>
      <c r="I15" s="16"/>
      <c r="J15" s="16"/>
      <c r="K15" s="16"/>
      <c r="L15" s="76"/>
    </row>
    <row r="16" spans="1:12" x14ac:dyDescent="0.25">
      <c r="A16" t="str">
        <f>_xlfn.IFNA(IF(HLOOKUP(InvoerRolluik!$E$13,kastmaat!F$1:L$49,ROW(A16),TRUE)=0,"", HLOOKUP(InvoerRolluik!$E$13,kastmaat!F$1:L$49,ROW(A16),TRUE)),"")</f>
        <v/>
      </c>
      <c r="B16" t="str">
        <f>_xlfn.IFNA(IF(HLOOKUP(InvoerRolluik!$F$13,kastmaat!F$1:L$49,ROW(B16),TRUE)=0,"", HLOOKUP(InvoerRolluik!$F$13,kastmaat!F$1:L$49,ROW(B16),TRUE)),"")</f>
        <v/>
      </c>
      <c r="C16" t="str">
        <f>_xlfn.IFNA(IF(HLOOKUP(InvoerRolluik!$G$13,kastmaat!F$1:L$49,ROW(C16),TRUE)=0,"", HLOOKUP(InvoerRolluik!$G$13,kastmaat!F$1:L$49,ROW(C16),TRUE)),"")</f>
        <v/>
      </c>
      <c r="D16" t="str">
        <f>_xlfn.IFNA(IF(HLOOKUP(InvoerRolluik!$H$13,kastmaat!F$1:L$49,ROW(D16),TRUE)=0,"", HLOOKUP(InvoerRolluik!$H$13,kastmaat!F$1:L$49,ROW(D16),TRUE)),"")</f>
        <v/>
      </c>
      <c r="E16" t="str">
        <f>_xlfn.IFNA(IF(HLOOKUP(InvoerRolluik!$I$13,kastmaat!F$1:L$49,ROW(E16),TRUE)=0,"", HLOOKUP(InvoerRolluik!$I$13,kastmaat!F$1:L$49,ROW(E16),TRUE)),"")</f>
        <v/>
      </c>
      <c r="F16" s="75"/>
      <c r="G16" s="16"/>
      <c r="H16" s="16"/>
      <c r="I16" s="16"/>
      <c r="J16" s="16"/>
      <c r="K16" s="16"/>
      <c r="L16" s="76"/>
    </row>
    <row r="17" spans="1:12" x14ac:dyDescent="0.25">
      <c r="A17" t="str">
        <f>_xlfn.IFNA(IF(HLOOKUP(InvoerRolluik!$E$13,kastmaat!F$1:L$49,ROW(A17),TRUE)=0,"", HLOOKUP(InvoerRolluik!$E$13,kastmaat!F$1:L$49,ROW(A17),TRUE)),"")</f>
        <v/>
      </c>
      <c r="B17" t="str">
        <f>_xlfn.IFNA(IF(HLOOKUP(InvoerRolluik!$F$13,kastmaat!F$1:L$49,ROW(B17),TRUE)=0,"", HLOOKUP(InvoerRolluik!$F$13,kastmaat!F$1:L$49,ROW(B17),TRUE)),"")</f>
        <v/>
      </c>
      <c r="C17" t="str">
        <f>_xlfn.IFNA(IF(HLOOKUP(InvoerRolluik!$G$13,kastmaat!F$1:L$49,ROW(C17),TRUE)=0,"", HLOOKUP(InvoerRolluik!$G$13,kastmaat!F$1:L$49,ROW(C17),TRUE)),"")</f>
        <v/>
      </c>
      <c r="D17" t="str">
        <f>_xlfn.IFNA(IF(HLOOKUP(InvoerRolluik!$H$13,kastmaat!F$1:L$49,ROW(D17),TRUE)=0,"", HLOOKUP(InvoerRolluik!$H$13,kastmaat!F$1:L$49,ROW(D17),TRUE)),"")</f>
        <v/>
      </c>
      <c r="E17" t="str">
        <f>_xlfn.IFNA(IF(HLOOKUP(InvoerRolluik!$I$13,kastmaat!F$1:L$49,ROW(E17),TRUE)=0,"", HLOOKUP(InvoerRolluik!$I$13,kastmaat!F$1:L$49,ROW(E17),TRUE)),"")</f>
        <v/>
      </c>
      <c r="F17" s="75"/>
      <c r="G17" s="16"/>
      <c r="H17" s="16"/>
      <c r="I17" s="16"/>
      <c r="J17" s="16"/>
      <c r="K17" s="16"/>
      <c r="L17" s="76"/>
    </row>
    <row r="18" spans="1:12" x14ac:dyDescent="0.25">
      <c r="A18" t="str">
        <f>_xlfn.IFNA(IF(HLOOKUP(InvoerRolluik!$E$13,kastmaat!F$1:L$49,ROW(A18),TRUE)=0,"", HLOOKUP(InvoerRolluik!$E$13,kastmaat!F$1:L$49,ROW(A18),TRUE)),"")</f>
        <v/>
      </c>
      <c r="B18" t="str">
        <f>_xlfn.IFNA(IF(HLOOKUP(InvoerRolluik!$F$13,kastmaat!F$1:L$49,ROW(B18),TRUE)=0,"", HLOOKUP(InvoerRolluik!$F$13,kastmaat!F$1:L$49,ROW(B18),TRUE)),"")</f>
        <v/>
      </c>
      <c r="C18" t="str">
        <f>_xlfn.IFNA(IF(HLOOKUP(InvoerRolluik!$G$13,kastmaat!F$1:L$49,ROW(C18),TRUE)=0,"", HLOOKUP(InvoerRolluik!$G$13,kastmaat!F$1:L$49,ROW(C18),TRUE)),"")</f>
        <v/>
      </c>
      <c r="D18" t="str">
        <f>_xlfn.IFNA(IF(HLOOKUP(InvoerRolluik!$H$13,kastmaat!F$1:L$49,ROW(D18),TRUE)=0,"", HLOOKUP(InvoerRolluik!$H$13,kastmaat!F$1:L$49,ROW(D18),TRUE)),"")</f>
        <v/>
      </c>
      <c r="E18" t="str">
        <f>_xlfn.IFNA(IF(HLOOKUP(InvoerRolluik!$I$13,kastmaat!F$1:L$49,ROW(E18),TRUE)=0,"", HLOOKUP(InvoerRolluik!$I$13,kastmaat!F$1:L$49,ROW(E18),TRUE)),"")</f>
        <v/>
      </c>
      <c r="F18" s="75"/>
      <c r="G18" s="16"/>
      <c r="H18" s="16"/>
      <c r="I18" s="16"/>
      <c r="J18" s="16"/>
      <c r="K18" s="16"/>
      <c r="L18" s="76"/>
    </row>
    <row r="19" spans="1:12" x14ac:dyDescent="0.25">
      <c r="A19" t="str">
        <f>_xlfn.IFNA(IF(HLOOKUP(InvoerRolluik!$E$13,kastmaat!F$1:L$49,ROW(A19),TRUE)=0,"", HLOOKUP(InvoerRolluik!$E$13,kastmaat!F$1:L$49,ROW(A19),TRUE)),"")</f>
        <v/>
      </c>
      <c r="B19" t="str">
        <f>_xlfn.IFNA(IF(HLOOKUP(InvoerRolluik!$F$13,kastmaat!F$1:L$49,ROW(B19),TRUE)=0,"", HLOOKUP(InvoerRolluik!$F$13,kastmaat!F$1:L$49,ROW(B19),TRUE)),"")</f>
        <v/>
      </c>
      <c r="C19" t="str">
        <f>_xlfn.IFNA(IF(HLOOKUP(InvoerRolluik!$G$13,kastmaat!F$1:L$49,ROW(C19),TRUE)=0,"", HLOOKUP(InvoerRolluik!$G$13,kastmaat!F$1:L$49,ROW(C19),TRUE)),"")</f>
        <v/>
      </c>
      <c r="D19" t="str">
        <f>_xlfn.IFNA(IF(HLOOKUP(InvoerRolluik!$H$13,kastmaat!F$1:L$49,ROW(D19),TRUE)=0,"", HLOOKUP(InvoerRolluik!$H$13,kastmaat!F$1:L$49,ROW(D19),TRUE)),"")</f>
        <v/>
      </c>
      <c r="E19" t="str">
        <f>_xlfn.IFNA(IF(HLOOKUP(InvoerRolluik!$I$13,kastmaat!F$1:L$49,ROW(E19),TRUE)=0,"", HLOOKUP(InvoerRolluik!$I$13,kastmaat!F$1:L$49,ROW(E19),TRUE)),"")</f>
        <v/>
      </c>
      <c r="F19" s="75"/>
      <c r="G19" s="16"/>
      <c r="H19" s="16"/>
      <c r="I19" s="16"/>
      <c r="J19" s="16"/>
      <c r="K19" s="16"/>
      <c r="L19" s="76"/>
    </row>
    <row r="20" spans="1:12" x14ac:dyDescent="0.25">
      <c r="A20" t="str">
        <f>_xlfn.IFNA(IF(HLOOKUP(InvoerRolluik!$E$13,kastmaat!F$1:L$49,ROW(A20),TRUE)=0,"", HLOOKUP(InvoerRolluik!$E$13,kastmaat!F$1:L$49,ROW(A20),TRUE)),"")</f>
        <v/>
      </c>
      <c r="B20" t="str">
        <f>_xlfn.IFNA(IF(HLOOKUP(InvoerRolluik!$F$13,kastmaat!F$1:L$49,ROW(B20),TRUE)=0,"", HLOOKUP(InvoerRolluik!$F$13,kastmaat!F$1:L$49,ROW(B20),TRUE)),"")</f>
        <v/>
      </c>
      <c r="C20" t="str">
        <f>_xlfn.IFNA(IF(HLOOKUP(InvoerRolluik!$G$13,kastmaat!F$1:L$49,ROW(C20),TRUE)=0,"", HLOOKUP(InvoerRolluik!$G$13,kastmaat!F$1:L$49,ROW(C20),TRUE)),"")</f>
        <v/>
      </c>
      <c r="D20" t="str">
        <f>_xlfn.IFNA(IF(HLOOKUP(InvoerRolluik!$H$13,kastmaat!F$1:L$49,ROW(D20),TRUE)=0,"", HLOOKUP(InvoerRolluik!$H$13,kastmaat!F$1:L$49,ROW(D20),TRUE)),"")</f>
        <v/>
      </c>
      <c r="E20" t="str">
        <f>_xlfn.IFNA(IF(HLOOKUP(InvoerRolluik!$I$13,kastmaat!F$1:L$49,ROW(E20),TRUE)=0,"", HLOOKUP(InvoerRolluik!$I$13,kastmaat!F$1:L$49,ROW(E20),TRUE)),"")</f>
        <v/>
      </c>
      <c r="F20" s="138"/>
      <c r="G20" s="139"/>
      <c r="H20" s="139"/>
      <c r="I20" s="139"/>
      <c r="J20" s="139"/>
      <c r="K20" s="139"/>
      <c r="L20" s="140"/>
    </row>
    <row r="21" spans="1:12" x14ac:dyDescent="0.25">
      <c r="A21" t="str">
        <f>_xlfn.IFNA(IF(HLOOKUP(InvoerRolluik!$E$13,kastmaat!F$1:L$49,ROW(A21),TRUE)=0,"", HLOOKUP(InvoerRolluik!$E$13,kastmaat!F$1:L$49,ROW(A21),TRUE)),"")</f>
        <v/>
      </c>
      <c r="B21" t="str">
        <f>_xlfn.IFNA(IF(HLOOKUP(InvoerRolluik!$F$13,kastmaat!F$1:L$49,ROW(B21),TRUE)=0,"", HLOOKUP(InvoerRolluik!$F$13,kastmaat!F$1:L$49,ROW(B21),TRUE)),"")</f>
        <v/>
      </c>
      <c r="C21" t="str">
        <f>_xlfn.IFNA(IF(HLOOKUP(InvoerRolluik!$G$13,kastmaat!F$1:L$49,ROW(C21),TRUE)=0,"", HLOOKUP(InvoerRolluik!$G$13,kastmaat!F$1:L$49,ROW(C21),TRUE)),"")</f>
        <v/>
      </c>
      <c r="D21" t="str">
        <f>_xlfn.IFNA(IF(HLOOKUP(InvoerRolluik!$H$13,kastmaat!F$1:L$49,ROW(D21),TRUE)=0,"", HLOOKUP(InvoerRolluik!$H$13,kastmaat!F$1:L$49,ROW(D21),TRUE)),"")</f>
        <v/>
      </c>
      <c r="E21" t="str">
        <f>_xlfn.IFNA(IF(HLOOKUP(InvoerRolluik!$I$13,kastmaat!F$1:L$49,ROW(E21),TRUE)=0,"", HLOOKUP(InvoerRolluik!$I$13,kastmaat!F$1:L$49,ROW(E21),TRUE)),"")</f>
        <v/>
      </c>
      <c r="F21" s="75"/>
      <c r="G21" s="16"/>
      <c r="H21" s="16"/>
      <c r="I21" s="16"/>
      <c r="J21" s="16"/>
      <c r="K21" s="16"/>
      <c r="L21" s="76"/>
    </row>
    <row r="22" spans="1:12" x14ac:dyDescent="0.25">
      <c r="B22" t="str">
        <f>_xlfn.IFNA(IF(HLOOKUP(InvoerRolluik!$F$13,kastmaat!F$1:L$49,ROW(B22),TRUE)=0,"", HLOOKUP(InvoerRolluik!$F$13,kastmaat!F$1:L$49,ROW(B22),TRUE)),"")</f>
        <v/>
      </c>
      <c r="C22" t="str">
        <f>_xlfn.IFNA(IF(HLOOKUP(InvoerRolluik!$G$13,kastmaat!F$1:L$49,ROW(C22),TRUE)=0,"", HLOOKUP(InvoerRolluik!$G$13,kastmaat!F$1:L$49,ROW(C22),TRUE)),"")</f>
        <v/>
      </c>
      <c r="D22" t="str">
        <f>_xlfn.IFNA(IF(HLOOKUP(InvoerRolluik!$H$13,kastmaat!F$1:L$49,ROW(D22),TRUE)=0,"", HLOOKUP(InvoerRolluik!$H$13,kastmaat!F$1:L$49,ROW(D22),TRUE)),"")</f>
        <v/>
      </c>
      <c r="E22" t="str">
        <f>_xlfn.IFNA(IF(HLOOKUP(InvoerRolluik!$I$13,kastmaat!F$1:L$49,ROW(E22),TRUE)=0,"", HLOOKUP(InvoerRolluik!$I$13,kastmaat!F$1:L$49,ROW(E22),TRUE)),"")</f>
        <v/>
      </c>
      <c r="F22" s="75"/>
      <c r="G22" s="16"/>
      <c r="H22" s="16"/>
      <c r="I22" s="16"/>
      <c r="J22" s="16"/>
      <c r="K22" s="16"/>
      <c r="L22" s="76"/>
    </row>
    <row r="23" spans="1:12" x14ac:dyDescent="0.25">
      <c r="B23" t="str">
        <f>_xlfn.IFNA(IF(HLOOKUP(InvoerRolluik!$F$13,kastmaat!F$1:L$49,ROW(B23),TRUE)=0,"", HLOOKUP(InvoerRolluik!$F$13,kastmaat!F$1:L$49,ROW(B23),TRUE)),"")</f>
        <v/>
      </c>
      <c r="C23" t="str">
        <f>_xlfn.IFNA(IF(HLOOKUP(InvoerRolluik!$G$13,kastmaat!F$1:L$49,ROW(C23),TRUE)=0,"", HLOOKUP(InvoerRolluik!$G$13,kastmaat!F$1:L$49,ROW(C23),TRUE)),"")</f>
        <v/>
      </c>
      <c r="D23" t="str">
        <f>_xlfn.IFNA(IF(HLOOKUP(InvoerRolluik!$H$13,kastmaat!F$1:L$49,ROW(D23),TRUE)=0,"", HLOOKUP(InvoerRolluik!$H$13,kastmaat!F$1:L$49,ROW(D23),TRUE)),"")</f>
        <v/>
      </c>
      <c r="E23" t="str">
        <f>_xlfn.IFNA(IF(HLOOKUP(InvoerRolluik!$I$13,kastmaat!F$1:L$49,ROW(E23),TRUE)=0,"", HLOOKUP(InvoerRolluik!$I$13,kastmaat!F$1:L$49,ROW(E23),TRUE)),"")</f>
        <v/>
      </c>
      <c r="F23" s="75"/>
      <c r="G23" s="16"/>
      <c r="H23" s="16"/>
      <c r="I23" s="16"/>
      <c r="J23" s="16"/>
      <c r="K23" s="16"/>
      <c r="L23" s="76"/>
    </row>
    <row r="24" spans="1:12" x14ac:dyDescent="0.25">
      <c r="B24" t="str">
        <f>_xlfn.IFNA(IF(HLOOKUP(InvoerRolluik!$F$13,kastmaat!F$1:L$49,ROW(B24),TRUE)=0,"", HLOOKUP(InvoerRolluik!$F$13,kastmaat!F$1:L$49,ROW(B24),TRUE)),"")</f>
        <v/>
      </c>
      <c r="C24" t="str">
        <f>_xlfn.IFNA(IF(HLOOKUP(InvoerRolluik!$G$13,kastmaat!F$1:L$49,ROW(C24),TRUE)=0,"", HLOOKUP(InvoerRolluik!$G$13,kastmaat!F$1:L$49,ROW(C24),TRUE)),"")</f>
        <v/>
      </c>
      <c r="D24" t="str">
        <f>_xlfn.IFNA(IF(HLOOKUP(InvoerRolluik!$H$13,kastmaat!F$1:L$49,ROW(D24),TRUE)=0,"", HLOOKUP(InvoerRolluik!$H$13,kastmaat!F$1:L$49,ROW(D24),TRUE)),"")</f>
        <v/>
      </c>
      <c r="E24" t="str">
        <f>_xlfn.IFNA(IF(HLOOKUP(InvoerRolluik!$I$13,kastmaat!F$1:L$49,ROW(E24),TRUE)=0,"", HLOOKUP(InvoerRolluik!$I$13,kastmaat!F$1:L$49,ROW(E24),TRUE)),"")</f>
        <v/>
      </c>
      <c r="F24" s="75"/>
      <c r="G24" s="16"/>
      <c r="H24" s="16"/>
      <c r="I24" s="16"/>
      <c r="J24" s="16"/>
      <c r="K24" s="16"/>
      <c r="L24" s="76"/>
    </row>
    <row r="25" spans="1:12" x14ac:dyDescent="0.25">
      <c r="B25" t="str">
        <f>_xlfn.IFNA(IF(HLOOKUP(InvoerRolluik!$F$13,kastmaat!F$1:L$49,ROW(B25),TRUE)=0,"", HLOOKUP(InvoerRolluik!$F$13,kastmaat!F$1:L$49,ROW(B25),TRUE)),"")</f>
        <v/>
      </c>
      <c r="C25" t="str">
        <f>_xlfn.IFNA(IF(HLOOKUP(InvoerRolluik!$G$13,kastmaat!F$1:L$49,ROW(C25),TRUE)=0,"", HLOOKUP(InvoerRolluik!$G$13,kastmaat!F$1:L$49,ROW(C25),TRUE)),"")</f>
        <v/>
      </c>
      <c r="D25" t="str">
        <f>_xlfn.IFNA(IF(HLOOKUP(InvoerRolluik!$H$13,kastmaat!F$1:L$49,ROW(D25),TRUE)=0,"", HLOOKUP(InvoerRolluik!$H$13,kastmaat!F$1:L$49,ROW(D25),TRUE)),"")</f>
        <v/>
      </c>
      <c r="E25" t="str">
        <f>_xlfn.IFNA(IF(HLOOKUP(InvoerRolluik!$I$13,kastmaat!F$1:L$49,ROW(E25),TRUE)=0,"", HLOOKUP(InvoerRolluik!$I$13,kastmaat!F$1:L$49,ROW(E25),TRUE)),"")</f>
        <v/>
      </c>
      <c r="F25" s="75"/>
      <c r="G25" s="16"/>
      <c r="H25" s="16"/>
      <c r="I25" s="16"/>
      <c r="J25" s="16"/>
      <c r="K25" s="16"/>
      <c r="L25" s="76"/>
    </row>
    <row r="26" spans="1:12" x14ac:dyDescent="0.25">
      <c r="B26" t="str">
        <f>_xlfn.IFNA(IF(HLOOKUP(InvoerRolluik!$F$13,kastmaat!F$1:L$49,ROW(B26),TRUE)=0,"", HLOOKUP(InvoerRolluik!$F$13,kastmaat!F$1:L$49,ROW(B26),TRUE)),"")</f>
        <v/>
      </c>
      <c r="C26" t="str">
        <f>_xlfn.IFNA(IF(HLOOKUP(InvoerRolluik!$G$13,kastmaat!F$1:L$49,ROW(C26),TRUE)=0,"", HLOOKUP(InvoerRolluik!$G$13,kastmaat!F$1:L$49,ROW(C26),TRUE)),"")</f>
        <v/>
      </c>
      <c r="D26" t="str">
        <f>_xlfn.IFNA(IF(HLOOKUP(InvoerRolluik!$H$13,kastmaat!F$1:L$49,ROW(D26),TRUE)=0,"", HLOOKUP(InvoerRolluik!$H$13,kastmaat!F$1:L$49,ROW(D26),TRUE)),"")</f>
        <v/>
      </c>
      <c r="E26" t="str">
        <f>_xlfn.IFNA(IF(HLOOKUP(InvoerRolluik!$I$13,kastmaat!F$1:L$49,ROW(E26),TRUE)=0,"", HLOOKUP(InvoerRolluik!$I$13,kastmaat!F$1:L$49,ROW(E26),TRUE)),"")</f>
        <v/>
      </c>
      <c r="F26" s="75"/>
      <c r="G26" s="16"/>
      <c r="H26" s="16"/>
      <c r="I26" s="16"/>
      <c r="J26" s="16"/>
      <c r="K26" s="16"/>
      <c r="L26" s="76"/>
    </row>
    <row r="27" spans="1:12" x14ac:dyDescent="0.25">
      <c r="B27" t="str">
        <f>_xlfn.IFNA(IF(HLOOKUP(InvoerRolluik!$F$13,kastmaat!F$1:L$49,ROW(B27),TRUE)=0,"", HLOOKUP(InvoerRolluik!$F$13,kastmaat!F$1:L$49,ROW(B27),TRUE)),"")</f>
        <v/>
      </c>
      <c r="C27" t="str">
        <f>_xlfn.IFNA(IF(HLOOKUP(InvoerRolluik!$G$13,kastmaat!F$1:L$49,ROW(C27),TRUE)=0,"", HLOOKUP(InvoerRolluik!$G$13,kastmaat!F$1:L$49,ROW(C27),TRUE)),"")</f>
        <v/>
      </c>
      <c r="D27" t="str">
        <f>_xlfn.IFNA(IF(HLOOKUP(InvoerRolluik!$H$13,kastmaat!F$1:L$49,ROW(D27),TRUE)=0,"", HLOOKUP(InvoerRolluik!$H$13,kastmaat!F$1:L$49,ROW(D27),TRUE)),"")</f>
        <v/>
      </c>
      <c r="E27" t="str">
        <f>_xlfn.IFNA(IF(HLOOKUP(InvoerRolluik!$I$13,kastmaat!F$1:L$49,ROW(E27),TRUE)=0,"", HLOOKUP(InvoerRolluik!$I$13,kastmaat!F$1:L$49,ROW(E27),TRUE)),"")</f>
        <v/>
      </c>
      <c r="F27" s="75"/>
      <c r="G27" s="16"/>
      <c r="H27" s="16"/>
      <c r="I27" s="16"/>
      <c r="J27" s="16"/>
      <c r="K27" s="16"/>
      <c r="L27" s="76"/>
    </row>
    <row r="28" spans="1:12" x14ac:dyDescent="0.25">
      <c r="B28" t="str">
        <f>_xlfn.IFNA(IF(HLOOKUP(InvoerRolluik!$F$13,kastmaat!F$1:L$49,ROW(B28),TRUE)=0,"", HLOOKUP(InvoerRolluik!$F$13,kastmaat!F$1:L$49,ROW(B28),TRUE)),"")</f>
        <v/>
      </c>
      <c r="C28" t="str">
        <f>_xlfn.IFNA(IF(HLOOKUP(InvoerRolluik!$G$13,kastmaat!F$1:L$49,ROW(C28),TRUE)=0,"", HLOOKUP(InvoerRolluik!$G$13,kastmaat!F$1:L$49,ROW(C28),TRUE)),"")</f>
        <v/>
      </c>
      <c r="D28" t="str">
        <f>_xlfn.IFNA(IF(HLOOKUP(InvoerRolluik!$H$13,kastmaat!F$1:L$49,ROW(D28),TRUE)=0,"", HLOOKUP(InvoerRolluik!$H$13,kastmaat!F$1:L$49,ROW(D28),TRUE)),"")</f>
        <v/>
      </c>
      <c r="E28" t="str">
        <f>_xlfn.IFNA(IF(HLOOKUP(InvoerRolluik!$I$13,kastmaat!F$1:L$49,ROW(E28),TRUE)=0,"", HLOOKUP(InvoerRolluik!$I$13,kastmaat!F$1:L$49,ROW(E28),TRUE)),"")</f>
        <v/>
      </c>
      <c r="F28" s="75"/>
      <c r="G28" s="16"/>
      <c r="H28" s="16"/>
      <c r="I28" s="16"/>
      <c r="J28" s="16"/>
      <c r="K28" s="16"/>
      <c r="L28" s="76"/>
    </row>
    <row r="29" spans="1:12" x14ac:dyDescent="0.25">
      <c r="B29" t="str">
        <f>_xlfn.IFNA(IF(HLOOKUP(InvoerRolluik!$F$13,kastmaat!F$1:L$49,ROW(B29),TRUE)=0,"", HLOOKUP(InvoerRolluik!$F$13,kastmaat!F$1:L$49,ROW(B29),TRUE)),"")</f>
        <v/>
      </c>
      <c r="C29" t="str">
        <f>_xlfn.IFNA(IF(HLOOKUP(InvoerRolluik!$G$13,kastmaat!F$1:L$49,ROW(C29),TRUE)=0,"", HLOOKUP(InvoerRolluik!$G$13,kastmaat!F$1:L$49,ROW(C29),TRUE)),"")</f>
        <v/>
      </c>
      <c r="D29" t="str">
        <f>_xlfn.IFNA(IF(HLOOKUP(InvoerRolluik!$H$13,kastmaat!F$1:L$49,ROW(D29),TRUE)=0,"", HLOOKUP(InvoerRolluik!$H$13,kastmaat!F$1:L$49,ROW(D29),TRUE)),"")</f>
        <v/>
      </c>
      <c r="E29" t="str">
        <f>_xlfn.IFNA(IF(HLOOKUP(InvoerRolluik!$I$13,kastmaat!F$1:L$49,ROW(E29),TRUE)=0,"", HLOOKUP(InvoerRolluik!$I$13,kastmaat!F$1:L$49,ROW(E29),TRUE)),"")</f>
        <v/>
      </c>
      <c r="F29" s="75"/>
      <c r="G29" s="16"/>
      <c r="H29" s="16"/>
      <c r="I29" s="16"/>
      <c r="J29" s="16"/>
      <c r="K29" s="16"/>
      <c r="L29" s="76"/>
    </row>
    <row r="30" spans="1:12" x14ac:dyDescent="0.25">
      <c r="B30" t="str">
        <f>_xlfn.IFNA(IF(HLOOKUP(InvoerRolluik!$F$13,kastmaat!F$1:L$49,ROW(B30),TRUE)=0,"", HLOOKUP(InvoerRolluik!$F$13,kastmaat!F$1:L$49,ROW(B30),TRUE)),"")</f>
        <v/>
      </c>
      <c r="C30" t="str">
        <f>_xlfn.IFNA(IF(HLOOKUP(InvoerRolluik!$G$13,kastmaat!F$1:L$49,ROW(C30),TRUE)=0,"", HLOOKUP(InvoerRolluik!$G$13,kastmaat!F$1:L$49,ROW(C30),TRUE)),"")</f>
        <v/>
      </c>
      <c r="D30" t="str">
        <f>_xlfn.IFNA(IF(HLOOKUP(InvoerRolluik!$H$13,kastmaat!F$1:L$49,ROW(D30),TRUE)=0,"", HLOOKUP(InvoerRolluik!$H$13,kastmaat!F$1:L$49,ROW(D30),TRUE)),"")</f>
        <v/>
      </c>
      <c r="E30" t="str">
        <f>_xlfn.IFNA(IF(HLOOKUP(InvoerRolluik!$I$13,kastmaat!F$1:L$49,ROW(E30),TRUE)=0,"", HLOOKUP(InvoerRolluik!$I$13,kastmaat!F$1:L$49,ROW(E30),TRUE)),"")</f>
        <v/>
      </c>
      <c r="F30" s="75"/>
      <c r="G30" s="16"/>
      <c r="H30" s="16"/>
      <c r="I30" s="16"/>
      <c r="J30" s="16"/>
      <c r="K30" s="16"/>
      <c r="L30" s="76"/>
    </row>
    <row r="31" spans="1:12" x14ac:dyDescent="0.25">
      <c r="F31" s="138" t="s">
        <v>114</v>
      </c>
      <c r="G31" s="139"/>
      <c r="H31" s="139"/>
      <c r="I31" s="139"/>
      <c r="J31" s="139"/>
      <c r="K31" s="139"/>
      <c r="L31" s="140"/>
    </row>
    <row r="32" spans="1:12" x14ac:dyDescent="0.25">
      <c r="F32" s="77"/>
      <c r="G32" s="19"/>
      <c r="H32" s="19"/>
      <c r="I32" s="19"/>
      <c r="J32" s="19"/>
      <c r="K32" s="19"/>
      <c r="L32" s="78"/>
    </row>
  </sheetData>
  <mergeCells count="2">
    <mergeCell ref="F20:L20"/>
    <mergeCell ref="F31:L3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CE0A4-E1AC-40F0-80A1-996AE3A8253F}">
  <dimension ref="A1:L52"/>
  <sheetViews>
    <sheetView workbookViewId="0">
      <selection activeCell="F2" sqref="F2"/>
    </sheetView>
  </sheetViews>
  <sheetFormatPr defaultRowHeight="15" x14ac:dyDescent="0.25"/>
  <cols>
    <col min="1" max="12" width="20.7109375" customWidth="1"/>
  </cols>
  <sheetData>
    <row r="1" spans="1:12" ht="30" x14ac:dyDescent="0.25">
      <c r="A1" s="67" t="s">
        <v>100</v>
      </c>
      <c r="B1" s="67" t="s">
        <v>99</v>
      </c>
      <c r="C1" s="67" t="s">
        <v>101</v>
      </c>
      <c r="D1" s="67" t="s">
        <v>102</v>
      </c>
      <c r="E1" s="67" t="s">
        <v>103</v>
      </c>
      <c r="F1" s="82" t="str">
        <f>Bron!A3</f>
        <v>Ecoroll L
42mm lamel</v>
      </c>
      <c r="G1" s="83" t="str">
        <f>Bron!A4</f>
        <v>Ecoroll M
37mm lamel</v>
      </c>
      <c r="H1" s="83" t="str">
        <f>Bron!A9</f>
        <v>EcoRoll XL52
52mm lamel</v>
      </c>
      <c r="I1" s="83" t="str">
        <f>Bron!A10</f>
        <v>EcoRoll XL55
55mm lamel</v>
      </c>
      <c r="J1" s="83" t="str">
        <f>Bron!A11</f>
        <v>EcoRoll XXL77
77mm lamel</v>
      </c>
      <c r="K1" s="83" t="str">
        <f>Bron!A6</f>
        <v>Rollex L 
42mm lamel</v>
      </c>
      <c r="L1" s="84" t="str">
        <f>Bron!A7</f>
        <v>Rollex M
37mm lamel</v>
      </c>
    </row>
    <row r="2" spans="1:12" x14ac:dyDescent="0.25">
      <c r="A2" s="36"/>
      <c r="B2" s="36"/>
      <c r="C2" s="36"/>
      <c r="D2" s="36"/>
      <c r="E2" s="36"/>
      <c r="F2" s="72" t="s">
        <v>74</v>
      </c>
      <c r="G2" s="73"/>
      <c r="H2" s="73"/>
      <c r="I2" s="73"/>
      <c r="J2" s="73"/>
      <c r="K2" s="73"/>
      <c r="L2" s="74"/>
    </row>
    <row r="3" spans="1:12" x14ac:dyDescent="0.25">
      <c r="A3" t="str">
        <f>_xlfn.IFNA(IF(HLOOKUP(InvoerRolluik!$E$13,geleiders!F$1:L$49,ROW(A3),TRUE)=0,"", HLOOKUP(InvoerRolluik!$E$13,geleiders!F$1:L$49,ROW(A3),TRUE)),"")</f>
        <v/>
      </c>
      <c r="B3" t="str">
        <f>_xlfn.IFNA(IF(HLOOKUP(InvoerRolluik!$F$13,geleiders!F$1:L$49,ROW(B3),TRUE)=0,"", HLOOKUP(InvoerRolluik!$F$13,geleiders!F$1:L$49,ROW(B3),TRUE)),"")</f>
        <v/>
      </c>
      <c r="C3" t="str">
        <f>_xlfn.IFNA(IF(HLOOKUP(InvoerRolluik!$G$13,geleiders!F$1:L$49,ROW(C3),TRUE)=0,"", HLOOKUP(InvoerRolluik!$G$13,geleiders!F$1:L$49,ROW(C3),TRUE)),"")</f>
        <v/>
      </c>
      <c r="D3" t="str">
        <f>_xlfn.IFNA(IF(HLOOKUP(InvoerRolluik!$H$13,geleiders!F$1:L$49,ROW(D3),TRUE)=0,"", HLOOKUP(InvoerRolluik!$H$13,geleiders!F$1:L$49,ROW(D3),TRUE)),"")</f>
        <v/>
      </c>
      <c r="E3" t="str">
        <f>_xlfn.IFNA(IF(HLOOKUP(InvoerRolluik!$I$13,geleiders!F$1:L$49,ROW(E3),TRUE)=0,"", HLOOKUP(InvoerRolluik!$I$13,geleiders!F$1:L$49,ROW(E3),TRUE)),"")</f>
        <v/>
      </c>
      <c r="F3" s="75" t="s">
        <v>27</v>
      </c>
      <c r="G3" s="16" t="s">
        <v>27</v>
      </c>
      <c r="H3" s="16" t="s">
        <v>95</v>
      </c>
      <c r="I3" s="16" t="s">
        <v>97</v>
      </c>
      <c r="J3" s="16" t="s">
        <v>98</v>
      </c>
      <c r="K3" s="16" t="s">
        <v>27</v>
      </c>
      <c r="L3" s="76" t="s">
        <v>27</v>
      </c>
    </row>
    <row r="4" spans="1:12" x14ac:dyDescent="0.25">
      <c r="A4" t="str">
        <f>_xlfn.IFNA(IF(HLOOKUP(InvoerRolluik!$E$13,geleiders!F$1:L$49,ROW(A4),TRUE)=0,"", HLOOKUP(InvoerRolluik!$E$13,geleiders!F$1:L$49,ROW(A4),TRUE)),"")</f>
        <v/>
      </c>
      <c r="B4" t="str">
        <f>_xlfn.IFNA(IF(HLOOKUP(InvoerRolluik!$F$13,geleiders!F$1:L$49,ROW(B4),TRUE)=0,"", HLOOKUP(InvoerRolluik!$F$13,geleiders!F$1:L$49,ROW(B4),TRUE)),"")</f>
        <v/>
      </c>
      <c r="C4" t="str">
        <f>_xlfn.IFNA(IF(HLOOKUP(InvoerRolluik!$G$13,geleiders!F$1:L$49,ROW(C4),TRUE)=0,"", HLOOKUP(InvoerRolluik!$G$13,geleiders!F$1:L$49,ROW(C4),TRUE)),"")</f>
        <v/>
      </c>
      <c r="D4" t="str">
        <f>_xlfn.IFNA(IF(HLOOKUP(InvoerRolluik!$H$13,geleiders!F$1:L$49,ROW(D4),TRUE)=0,"", HLOOKUP(InvoerRolluik!$H$13,geleiders!F$1:L$49,ROW(D4),TRUE)),"")</f>
        <v/>
      </c>
      <c r="E4" t="str">
        <f>_xlfn.IFNA(IF(HLOOKUP(InvoerRolluik!$I$13,geleiders!F$1:L$49,ROW(E4),TRUE)=0,"", HLOOKUP(InvoerRolluik!$I$13,geleiders!F$1:L$49,ROW(E4),TRUE)),"")</f>
        <v/>
      </c>
      <c r="F4" s="75" t="s">
        <v>28</v>
      </c>
      <c r="G4" s="16" t="s">
        <v>28</v>
      </c>
      <c r="H4" s="16" t="s">
        <v>96</v>
      </c>
      <c r="I4" s="16"/>
      <c r="J4" s="16"/>
      <c r="K4" s="16" t="s">
        <v>28</v>
      </c>
      <c r="L4" s="76" t="s">
        <v>28</v>
      </c>
    </row>
    <row r="5" spans="1:12" x14ac:dyDescent="0.25">
      <c r="A5" t="str">
        <f>_xlfn.IFNA(IF(HLOOKUP(InvoerRolluik!$E$13,geleiders!F$1:L$49,ROW(A5),TRUE)=0,"", HLOOKUP(InvoerRolluik!$E$13,geleiders!F$1:L$49,ROW(A5),TRUE)),"")</f>
        <v/>
      </c>
      <c r="B5" t="str">
        <f>_xlfn.IFNA(IF(HLOOKUP(InvoerRolluik!$F$13,geleiders!F$1:L$49,ROW(B5),TRUE)=0,"", HLOOKUP(InvoerRolluik!$F$13,geleiders!F$1:L$49,ROW(B5),TRUE)),"")</f>
        <v/>
      </c>
      <c r="C5" t="str">
        <f>_xlfn.IFNA(IF(HLOOKUP(InvoerRolluik!$G$13,geleiders!F$1:L$49,ROW(C5),TRUE)=0,"", HLOOKUP(InvoerRolluik!$G$13,geleiders!F$1:L$49,ROW(C5),TRUE)),"")</f>
        <v/>
      </c>
      <c r="D5" t="str">
        <f>_xlfn.IFNA(IF(HLOOKUP(InvoerRolluik!$H$13,geleiders!F$1:L$49,ROW(D5),TRUE)=0,"", HLOOKUP(InvoerRolluik!$H$13,geleiders!F$1:L$49,ROW(D5),TRUE)),"")</f>
        <v/>
      </c>
      <c r="E5" t="str">
        <f>_xlfn.IFNA(IF(HLOOKUP(InvoerRolluik!$I$13,geleiders!F$1:L$49,ROW(E5),TRUE)=0,"", HLOOKUP(InvoerRolluik!$I$13,geleiders!F$1:L$49,ROW(E5),TRUE)),"")</f>
        <v/>
      </c>
      <c r="F5" s="75" t="s">
        <v>29</v>
      </c>
      <c r="G5" s="16" t="s">
        <v>29</v>
      </c>
      <c r="H5" s="16"/>
      <c r="I5" s="16"/>
      <c r="J5" s="16"/>
      <c r="K5" s="16" t="s">
        <v>29</v>
      </c>
      <c r="L5" s="76" t="s">
        <v>29</v>
      </c>
    </row>
    <row r="6" spans="1:12" x14ac:dyDescent="0.25">
      <c r="A6" t="str">
        <f>_xlfn.IFNA(IF(HLOOKUP(InvoerRolluik!$E$13,geleiders!F$1:L$49,ROW(A6),TRUE)=0,"", HLOOKUP(InvoerRolluik!$E$13,geleiders!F$1:L$49,ROW(A6),TRUE)),"")</f>
        <v/>
      </c>
      <c r="B6" t="str">
        <f>_xlfn.IFNA(IF(HLOOKUP(InvoerRolluik!$F$13,geleiders!F$1:L$49,ROW(B6),TRUE)=0,"", HLOOKUP(InvoerRolluik!$F$13,geleiders!F$1:L$49,ROW(B6),TRUE)),"")</f>
        <v/>
      </c>
      <c r="C6" t="str">
        <f>_xlfn.IFNA(IF(HLOOKUP(InvoerRolluik!$G$13,geleiders!F$1:L$49,ROW(C6),TRUE)=0,"", HLOOKUP(InvoerRolluik!$G$13,geleiders!F$1:L$49,ROW(C6),TRUE)),"")</f>
        <v/>
      </c>
      <c r="D6" t="str">
        <f>_xlfn.IFNA(IF(HLOOKUP(InvoerRolluik!$H$13,geleiders!F$1:L$49,ROW(D6),TRUE)=0,"", HLOOKUP(InvoerRolluik!$H$13,geleiders!F$1:L$49,ROW(D6),TRUE)),"")</f>
        <v/>
      </c>
      <c r="E6" t="str">
        <f>_xlfn.IFNA(IF(HLOOKUP(InvoerRolluik!$I$13,geleiders!F$1:L$49,ROW(E6),TRUE)=0,"", HLOOKUP(InvoerRolluik!$I$13,geleiders!F$1:L$49,ROW(E6),TRUE)),"")</f>
        <v/>
      </c>
      <c r="F6" s="75" t="s">
        <v>30</v>
      </c>
      <c r="G6" s="16" t="s">
        <v>30</v>
      </c>
      <c r="H6" s="16"/>
      <c r="I6" s="16"/>
      <c r="J6" s="16"/>
      <c r="K6" s="16" t="s">
        <v>30</v>
      </c>
      <c r="L6" s="76" t="s">
        <v>30</v>
      </c>
    </row>
    <row r="7" spans="1:12" x14ac:dyDescent="0.25">
      <c r="A7" t="str">
        <f>_xlfn.IFNA(IF(HLOOKUP(InvoerRolluik!$E$13,geleiders!F$1:L$49,ROW(A7),TRUE)=0,"", HLOOKUP(InvoerRolluik!$E$13,geleiders!F$1:L$49,ROW(A7),TRUE)),"")</f>
        <v/>
      </c>
      <c r="B7" t="str">
        <f>_xlfn.IFNA(IF(HLOOKUP(InvoerRolluik!$F$13,geleiders!F$1:L$49,ROW(B7),TRUE)=0,"", HLOOKUP(InvoerRolluik!$F$13,geleiders!F$1:L$49,ROW(B7),TRUE)),"")</f>
        <v/>
      </c>
      <c r="C7" t="str">
        <f>_xlfn.IFNA(IF(HLOOKUP(InvoerRolluik!$G$13,geleiders!F$1:L$49,ROW(C7),TRUE)=0,"", HLOOKUP(InvoerRolluik!$G$13,geleiders!F$1:L$49,ROW(C7),TRUE)),"")</f>
        <v/>
      </c>
      <c r="D7" t="str">
        <f>_xlfn.IFNA(IF(HLOOKUP(InvoerRolluik!$H$13,geleiders!F$1:L$49,ROW(D7),TRUE)=0,"", HLOOKUP(InvoerRolluik!$H$13,geleiders!F$1:L$49,ROW(D7),TRUE)),"")</f>
        <v/>
      </c>
      <c r="E7" t="str">
        <f>_xlfn.IFNA(IF(HLOOKUP(InvoerRolluik!$I$13,geleiders!F$1:L$49,ROW(E7),TRUE)=0,"", HLOOKUP(InvoerRolluik!$I$13,geleiders!F$1:L$49,ROW(E7),TRUE)),"")</f>
        <v/>
      </c>
      <c r="F7" s="75" t="s">
        <v>31</v>
      </c>
      <c r="G7" s="16" t="s">
        <v>31</v>
      </c>
      <c r="H7" s="16"/>
      <c r="I7" s="16"/>
      <c r="J7" s="16"/>
      <c r="K7" s="16" t="s">
        <v>31</v>
      </c>
      <c r="L7" s="76" t="s">
        <v>31</v>
      </c>
    </row>
    <row r="8" spans="1:12" x14ac:dyDescent="0.25">
      <c r="A8" t="str">
        <f>_xlfn.IFNA(IF(HLOOKUP(InvoerRolluik!$E$13,geleiders!F$1:L$49,ROW(A8),TRUE)=0,"", HLOOKUP(InvoerRolluik!$E$13,geleiders!F$1:L$49,ROW(A8),TRUE)),"")</f>
        <v/>
      </c>
      <c r="B8" t="str">
        <f>_xlfn.IFNA(IF(HLOOKUP(InvoerRolluik!$F$13,geleiders!F$1:L$49,ROW(B8),TRUE)=0,"", HLOOKUP(InvoerRolluik!$F$13,geleiders!F$1:L$49,ROW(B8),TRUE)),"")</f>
        <v/>
      </c>
      <c r="C8" t="str">
        <f>_xlfn.IFNA(IF(HLOOKUP(InvoerRolluik!$G$13,geleiders!F$1:L$49,ROW(C8),TRUE)=0,"", HLOOKUP(InvoerRolluik!$G$13,geleiders!F$1:L$49,ROW(C8),TRUE)),"")</f>
        <v/>
      </c>
      <c r="D8" t="str">
        <f>_xlfn.IFNA(IF(HLOOKUP(InvoerRolluik!$H$13,geleiders!F$1:L$49,ROW(D8),TRUE)=0,"", HLOOKUP(InvoerRolluik!$H$13,geleiders!F$1:L$49,ROW(D8),TRUE)),"")</f>
        <v/>
      </c>
      <c r="E8" t="str">
        <f>_xlfn.IFNA(IF(HLOOKUP(InvoerRolluik!$I$13,geleiders!F$1:L$49,ROW(E8),TRUE)=0,"", HLOOKUP(InvoerRolluik!$I$13,geleiders!F$1:L$49,ROW(E8),TRUE)),"")</f>
        <v/>
      </c>
      <c r="F8" s="75" t="s">
        <v>32</v>
      </c>
      <c r="G8" s="16" t="s">
        <v>32</v>
      </c>
      <c r="H8" s="16"/>
      <c r="I8" s="16"/>
      <c r="J8" s="16"/>
      <c r="K8" s="16" t="s">
        <v>32</v>
      </c>
      <c r="L8" s="76" t="s">
        <v>32</v>
      </c>
    </row>
    <row r="9" spans="1:12" x14ac:dyDescent="0.25">
      <c r="A9" t="str">
        <f>_xlfn.IFNA(IF(HLOOKUP(InvoerRolluik!$E$13,geleiders!F$1:L$49,ROW(A9),TRUE)=0,"", HLOOKUP(InvoerRolluik!$E$13,geleiders!F$1:L$49,ROW(A9),TRUE)),"")</f>
        <v/>
      </c>
      <c r="B9" t="str">
        <f>_xlfn.IFNA(IF(HLOOKUP(InvoerRolluik!$F$13,geleiders!F$1:L$49,ROW(B9),TRUE)=0,"", HLOOKUP(InvoerRolluik!$F$13,geleiders!F$1:L$49,ROW(B9),TRUE)),"")</f>
        <v/>
      </c>
      <c r="C9" t="str">
        <f>_xlfn.IFNA(IF(HLOOKUP(InvoerRolluik!$G$13,geleiders!F$1:L$49,ROW(C9),TRUE)=0,"", HLOOKUP(InvoerRolluik!$G$13,geleiders!F$1:L$49,ROW(C9),TRUE)),"")</f>
        <v/>
      </c>
      <c r="D9" t="str">
        <f>_xlfn.IFNA(IF(HLOOKUP(InvoerRolluik!$H$13,geleiders!F$1:L$49,ROW(D9),TRUE)=0,"", HLOOKUP(InvoerRolluik!$H$13,geleiders!F$1:L$49,ROW(D9),TRUE)),"")</f>
        <v/>
      </c>
      <c r="E9" t="str">
        <f>_xlfn.IFNA(IF(HLOOKUP(InvoerRolluik!$I$13,geleiders!F$1:L$49,ROW(E9),TRUE)=0,"", HLOOKUP(InvoerRolluik!$I$13,geleiders!F$1:L$49,ROW(E9),TRUE)),"")</f>
        <v/>
      </c>
      <c r="F9" s="75"/>
      <c r="G9" s="16"/>
      <c r="H9" s="16"/>
      <c r="I9" s="16"/>
      <c r="J9" s="16"/>
      <c r="K9" s="16"/>
      <c r="L9" s="76"/>
    </row>
    <row r="10" spans="1:12" x14ac:dyDescent="0.25">
      <c r="A10" t="str">
        <f>_xlfn.IFNA(IF(HLOOKUP(InvoerRolluik!$E$13,geleiders!F$1:L$49,ROW(A10),TRUE)=0,"", HLOOKUP(InvoerRolluik!$E$13,geleiders!F$1:L$49,ROW(A10),TRUE)),"")</f>
        <v/>
      </c>
      <c r="B10" t="str">
        <f>_xlfn.IFNA(IF(HLOOKUP(InvoerRolluik!$F$13,geleiders!F$1:L$49,ROW(B10),TRUE)=0,"", HLOOKUP(InvoerRolluik!$F$13,geleiders!F$1:L$49,ROW(B10),TRUE)),"")</f>
        <v/>
      </c>
      <c r="C10" t="str">
        <f>_xlfn.IFNA(IF(HLOOKUP(InvoerRolluik!$G$13,geleiders!F$1:L$49,ROW(C10),TRUE)=0,"", HLOOKUP(InvoerRolluik!$G$13,geleiders!F$1:L$49,ROW(C10),TRUE)),"")</f>
        <v/>
      </c>
      <c r="D10" t="str">
        <f>_xlfn.IFNA(IF(HLOOKUP(InvoerRolluik!$H$13,geleiders!F$1:L$49,ROW(D10),TRUE)=0,"", HLOOKUP(InvoerRolluik!$H$13,geleiders!F$1:L$49,ROW(D10),TRUE)),"")</f>
        <v/>
      </c>
      <c r="E10" t="str">
        <f>_xlfn.IFNA(IF(HLOOKUP(InvoerRolluik!$I$13,geleiders!F$1:L$49,ROW(E10),TRUE)=0,"", HLOOKUP(InvoerRolluik!$I$13,geleiders!F$1:L$49,ROW(E10),TRUE)),"")</f>
        <v/>
      </c>
      <c r="F10" s="75"/>
      <c r="G10" s="16"/>
      <c r="H10" s="16"/>
      <c r="I10" s="16"/>
      <c r="J10" s="16"/>
      <c r="K10" s="16"/>
      <c r="L10" s="76"/>
    </row>
    <row r="11" spans="1:12" x14ac:dyDescent="0.25">
      <c r="A11" t="str">
        <f>_xlfn.IFNA(IF(HLOOKUP(InvoerRolluik!$E$13,geleiders!F$1:L$49,ROW(A11),TRUE)=0,"", HLOOKUP(InvoerRolluik!$E$13,geleiders!F$1:L$49,ROW(A11),TRUE)),"")</f>
        <v/>
      </c>
      <c r="B11" t="str">
        <f>_xlfn.IFNA(IF(HLOOKUP(InvoerRolluik!$F$13,geleiders!F$1:L$49,ROW(B11),TRUE)=0,"", HLOOKUP(InvoerRolluik!$F$13,geleiders!F$1:L$49,ROW(B11),TRUE)),"")</f>
        <v/>
      </c>
      <c r="C11" t="str">
        <f>_xlfn.IFNA(IF(HLOOKUP(InvoerRolluik!$G$13,geleiders!F$1:L$49,ROW(C11),TRUE)=0,"", HLOOKUP(InvoerRolluik!$G$13,geleiders!F$1:L$49,ROW(C11),TRUE)),"")</f>
        <v/>
      </c>
      <c r="D11" t="str">
        <f>_xlfn.IFNA(IF(HLOOKUP(InvoerRolluik!$H$13,geleiders!F$1:L$49,ROW(D11),TRUE)=0,"", HLOOKUP(InvoerRolluik!$H$13,geleiders!F$1:L$49,ROW(D11),TRUE)),"")</f>
        <v/>
      </c>
      <c r="E11" t="str">
        <f>_xlfn.IFNA(IF(HLOOKUP(InvoerRolluik!$I$13,geleiders!F$1:L$49,ROW(E11),TRUE)=0,"", HLOOKUP(InvoerRolluik!$I$13,geleiders!F$1:L$49,ROW(E11),TRUE)),"")</f>
        <v/>
      </c>
      <c r="F11" s="75"/>
      <c r="G11" s="16"/>
      <c r="H11" s="16"/>
      <c r="I11" s="16"/>
      <c r="J11" s="16"/>
      <c r="K11" s="16"/>
      <c r="L11" s="76"/>
    </row>
    <row r="12" spans="1:12" x14ac:dyDescent="0.25">
      <c r="A12" t="str">
        <f>_xlfn.IFNA(IF(HLOOKUP(InvoerRolluik!$E$13,geleiders!F$1:L$49,ROW(A12),TRUE)=0,"", HLOOKUP(InvoerRolluik!$E$13,geleiders!F$1:L$49,ROW(A12),TRUE)),"")</f>
        <v/>
      </c>
      <c r="B12" t="str">
        <f>_xlfn.IFNA(IF(HLOOKUP(InvoerRolluik!$F$13,geleiders!F$1:L$49,ROW(B12),TRUE)=0,"", HLOOKUP(InvoerRolluik!$F$13,geleiders!F$1:L$49,ROW(B12),TRUE)),"")</f>
        <v/>
      </c>
      <c r="C12" t="str">
        <f>_xlfn.IFNA(IF(HLOOKUP(InvoerRolluik!$G$13,geleiders!F$1:L$49,ROW(C12),TRUE)=0,"", HLOOKUP(InvoerRolluik!$G$13,geleiders!F$1:L$49,ROW(C12),TRUE)),"")</f>
        <v/>
      </c>
      <c r="D12" t="str">
        <f>_xlfn.IFNA(IF(HLOOKUP(InvoerRolluik!$H$13,geleiders!F$1:L$49,ROW(D12),TRUE)=0,"", HLOOKUP(InvoerRolluik!$H$13,geleiders!F$1:L$49,ROW(D12),TRUE)),"")</f>
        <v/>
      </c>
      <c r="E12" t="str">
        <f>_xlfn.IFNA(IF(HLOOKUP(InvoerRolluik!$I$13,geleiders!F$1:L$49,ROW(E12),TRUE)=0,"", HLOOKUP(InvoerRolluik!$I$13,geleiders!F$1:L$49,ROW(E12),TRUE)),"")</f>
        <v/>
      </c>
      <c r="F12" s="75"/>
      <c r="G12" s="16"/>
      <c r="H12" s="16"/>
      <c r="I12" s="16"/>
      <c r="J12" s="16"/>
      <c r="K12" s="16"/>
      <c r="L12" s="76"/>
    </row>
    <row r="13" spans="1:12" x14ac:dyDescent="0.25">
      <c r="A13" t="str">
        <f>_xlfn.IFNA(IF(HLOOKUP(InvoerRolluik!$E$13,geleiders!F$1:L$49,ROW(A13),TRUE)=0,"", HLOOKUP(InvoerRolluik!$E$13,geleiders!F$1:L$49,ROW(A13),TRUE)),"")</f>
        <v/>
      </c>
      <c r="B13" t="str">
        <f>_xlfn.IFNA(IF(HLOOKUP(InvoerRolluik!$F$13,geleiders!F$1:L$49,ROW(B13),TRUE)=0,"", HLOOKUP(InvoerRolluik!$F$13,geleiders!F$1:L$49,ROW(B13),TRUE)),"")</f>
        <v/>
      </c>
      <c r="C13" t="str">
        <f>_xlfn.IFNA(IF(HLOOKUP(InvoerRolluik!$G$13,geleiders!F$1:L$49,ROW(C13),TRUE)=0,"", HLOOKUP(InvoerRolluik!$G$13,geleiders!F$1:L$49,ROW(C13),TRUE)),"")</f>
        <v/>
      </c>
      <c r="D13" t="str">
        <f>_xlfn.IFNA(IF(HLOOKUP(InvoerRolluik!$H$13,geleiders!F$1:L$49,ROW(D13),TRUE)=0,"", HLOOKUP(InvoerRolluik!$H$13,geleiders!F$1:L$49,ROW(D13),TRUE)),"")</f>
        <v/>
      </c>
      <c r="E13" t="str">
        <f>_xlfn.IFNA(IF(HLOOKUP(InvoerRolluik!$I$13,geleiders!F$1:L$49,ROW(E13),TRUE)=0,"", HLOOKUP(InvoerRolluik!$I$13,geleiders!F$1:L$49,ROW(E13),TRUE)),"")</f>
        <v/>
      </c>
      <c r="F13" s="75"/>
      <c r="G13" s="16"/>
      <c r="H13" s="16"/>
      <c r="I13" s="16"/>
      <c r="J13" s="16"/>
      <c r="K13" s="16"/>
      <c r="L13" s="76"/>
    </row>
    <row r="14" spans="1:12" x14ac:dyDescent="0.25">
      <c r="A14" t="str">
        <f>_xlfn.IFNA(IF(HLOOKUP(InvoerRolluik!$E$13,geleiders!F$1:L$49,ROW(A14),TRUE)=0,"", HLOOKUP(InvoerRolluik!$E$13,geleiders!F$1:L$49,ROW(A14),TRUE)),"")</f>
        <v/>
      </c>
      <c r="B14" t="str">
        <f>_xlfn.IFNA(IF(HLOOKUP(InvoerRolluik!$F$13,geleiders!F$1:L$49,ROW(B14),TRUE)=0,"", HLOOKUP(InvoerRolluik!$F$13,geleiders!F$1:L$49,ROW(B14),TRUE)),"")</f>
        <v/>
      </c>
      <c r="C14" t="str">
        <f>_xlfn.IFNA(IF(HLOOKUP(InvoerRolluik!$G$13,geleiders!F$1:L$49,ROW(C14),TRUE)=0,"", HLOOKUP(InvoerRolluik!$G$13,geleiders!F$1:L$49,ROW(C14),TRUE)),"")</f>
        <v/>
      </c>
      <c r="D14" t="str">
        <f>_xlfn.IFNA(IF(HLOOKUP(InvoerRolluik!$H$13,geleiders!F$1:L$49,ROW(D14),TRUE)=0,"", HLOOKUP(InvoerRolluik!$H$13,geleiders!F$1:L$49,ROW(D14),TRUE)),"")</f>
        <v/>
      </c>
      <c r="E14" t="str">
        <f>_xlfn.IFNA(IF(HLOOKUP(InvoerRolluik!$I$13,geleiders!F$1:L$49,ROW(E14),TRUE)=0,"", HLOOKUP(InvoerRolluik!$I$13,geleiders!F$1:L$49,ROW(E14),TRUE)),"")</f>
        <v/>
      </c>
      <c r="F14" s="75"/>
      <c r="G14" s="16"/>
      <c r="H14" s="16"/>
      <c r="I14" s="16"/>
      <c r="J14" s="16"/>
      <c r="K14" s="16"/>
      <c r="L14" s="76"/>
    </row>
    <row r="15" spans="1:12" x14ac:dyDescent="0.25">
      <c r="A15" t="str">
        <f>_xlfn.IFNA(IF(HLOOKUP(InvoerRolluik!$E$13,geleiders!F$1:L$49,ROW(A15),TRUE)=0,"", HLOOKUP(InvoerRolluik!$E$13,geleiders!F$1:L$49,ROW(A15),TRUE)),"")</f>
        <v/>
      </c>
      <c r="B15" t="str">
        <f>_xlfn.IFNA(IF(HLOOKUP(InvoerRolluik!$F$13,geleiders!F$1:L$49,ROW(B15),TRUE)=0,"", HLOOKUP(InvoerRolluik!$F$13,geleiders!F$1:L$49,ROW(B15),TRUE)),"")</f>
        <v/>
      </c>
      <c r="C15" t="str">
        <f>_xlfn.IFNA(IF(HLOOKUP(InvoerRolluik!$G$13,geleiders!F$1:L$49,ROW(C15),TRUE)=0,"", HLOOKUP(InvoerRolluik!$G$13,geleiders!F$1:L$49,ROW(C15),TRUE)),"")</f>
        <v/>
      </c>
      <c r="D15" t="str">
        <f>_xlfn.IFNA(IF(HLOOKUP(InvoerRolluik!$H$13,geleiders!F$1:L$49,ROW(D15),TRUE)=0,"", HLOOKUP(InvoerRolluik!$H$13,geleiders!F$1:L$49,ROW(D15),TRUE)),"")</f>
        <v/>
      </c>
      <c r="E15" t="str">
        <f>_xlfn.IFNA(IF(HLOOKUP(InvoerRolluik!$I$13,geleiders!F$1:L$49,ROW(E15),TRUE)=0,"", HLOOKUP(InvoerRolluik!$I$13,geleiders!F$1:L$49,ROW(E15),TRUE)),"")</f>
        <v/>
      </c>
      <c r="F15" s="75"/>
      <c r="G15" s="16"/>
      <c r="H15" s="16"/>
      <c r="I15" s="16"/>
      <c r="J15" s="16"/>
      <c r="K15" s="16"/>
      <c r="L15" s="76"/>
    </row>
    <row r="16" spans="1:12" x14ac:dyDescent="0.25">
      <c r="A16" t="str">
        <f>_xlfn.IFNA(IF(HLOOKUP(InvoerRolluik!$E$13,geleiders!F$1:L$49,ROW(A16),TRUE)=0,"", HLOOKUP(InvoerRolluik!$E$13,geleiders!F$1:L$49,ROW(A16),TRUE)),"")</f>
        <v/>
      </c>
      <c r="B16" t="str">
        <f>_xlfn.IFNA(IF(HLOOKUP(InvoerRolluik!$F$13,geleiders!F$1:L$49,ROW(B16),TRUE)=0,"", HLOOKUP(InvoerRolluik!$F$13,geleiders!F$1:L$49,ROW(B16),TRUE)),"")</f>
        <v/>
      </c>
      <c r="C16" t="str">
        <f>_xlfn.IFNA(IF(HLOOKUP(InvoerRolluik!$G$13,geleiders!F$1:L$49,ROW(C16),TRUE)=0,"", HLOOKUP(InvoerRolluik!$G$13,geleiders!F$1:L$49,ROW(C16),TRUE)),"")</f>
        <v/>
      </c>
      <c r="D16" t="str">
        <f>_xlfn.IFNA(IF(HLOOKUP(InvoerRolluik!$H$13,geleiders!F$1:L$49,ROW(D16),TRUE)=0,"", HLOOKUP(InvoerRolluik!$H$13,geleiders!F$1:L$49,ROW(D16),TRUE)),"")</f>
        <v/>
      </c>
      <c r="E16" t="str">
        <f>_xlfn.IFNA(IF(HLOOKUP(InvoerRolluik!$I$13,geleiders!F$1:L$49,ROW(E16),TRUE)=0,"", HLOOKUP(InvoerRolluik!$I$13,geleiders!F$1:L$49,ROW(E16),TRUE)),"")</f>
        <v/>
      </c>
      <c r="F16" s="75"/>
      <c r="G16" s="16"/>
      <c r="H16" s="16"/>
      <c r="I16" s="16"/>
      <c r="J16" s="16"/>
      <c r="K16" s="16"/>
      <c r="L16" s="76"/>
    </row>
    <row r="17" spans="1:12" x14ac:dyDescent="0.25">
      <c r="A17" t="str">
        <f>_xlfn.IFNA(IF(HLOOKUP(InvoerRolluik!$E$13,geleiders!F$1:L$49,ROW(A17),TRUE)=0,"", HLOOKUP(InvoerRolluik!$E$13,geleiders!F$1:L$49,ROW(A17),TRUE)),"")</f>
        <v/>
      </c>
      <c r="B17" t="str">
        <f>_xlfn.IFNA(IF(HLOOKUP(InvoerRolluik!$F$13,geleiders!F$1:L$49,ROW(B17),TRUE)=0,"", HLOOKUP(InvoerRolluik!$F$13,geleiders!F$1:L$49,ROW(B17),TRUE)),"")</f>
        <v/>
      </c>
      <c r="C17" t="str">
        <f>_xlfn.IFNA(IF(HLOOKUP(InvoerRolluik!$G$13,geleiders!F$1:L$49,ROW(C17),TRUE)=0,"", HLOOKUP(InvoerRolluik!$G$13,geleiders!F$1:L$49,ROW(C17),TRUE)),"")</f>
        <v/>
      </c>
      <c r="D17" t="str">
        <f>_xlfn.IFNA(IF(HLOOKUP(InvoerRolluik!$H$13,geleiders!F$1:L$49,ROW(D17),TRUE)=0,"", HLOOKUP(InvoerRolluik!$H$13,geleiders!F$1:L$49,ROW(D17),TRUE)),"")</f>
        <v/>
      </c>
      <c r="E17" t="str">
        <f>_xlfn.IFNA(IF(HLOOKUP(InvoerRolluik!$I$13,geleiders!F$1:L$49,ROW(E17),TRUE)=0,"", HLOOKUP(InvoerRolluik!$I$13,geleiders!F$1:L$49,ROW(E17),TRUE)),"")</f>
        <v/>
      </c>
      <c r="F17" s="75"/>
      <c r="G17" s="16"/>
      <c r="H17" s="16"/>
      <c r="I17" s="16"/>
      <c r="J17" s="16"/>
      <c r="K17" s="16"/>
      <c r="L17" s="76"/>
    </row>
    <row r="18" spans="1:12" x14ac:dyDescent="0.25">
      <c r="A18" t="str">
        <f>_xlfn.IFNA(IF(HLOOKUP(InvoerRolluik!$E$13,geleiders!F$1:L$49,ROW(A18),TRUE)=0,"", HLOOKUP(InvoerRolluik!$E$13,geleiders!F$1:L$49,ROW(A18),TRUE)),"")</f>
        <v/>
      </c>
      <c r="B18" t="str">
        <f>_xlfn.IFNA(IF(HLOOKUP(InvoerRolluik!$F$13,geleiders!F$1:L$49,ROW(B18),TRUE)=0,"", HLOOKUP(InvoerRolluik!$F$13,geleiders!F$1:L$49,ROW(B18),TRUE)),"")</f>
        <v/>
      </c>
      <c r="C18" t="str">
        <f>_xlfn.IFNA(IF(HLOOKUP(InvoerRolluik!$G$13,geleiders!F$1:L$49,ROW(C18),TRUE)=0,"", HLOOKUP(InvoerRolluik!$G$13,geleiders!F$1:L$49,ROW(C18),TRUE)),"")</f>
        <v/>
      </c>
      <c r="D18" t="str">
        <f>_xlfn.IFNA(IF(HLOOKUP(InvoerRolluik!$H$13,geleiders!F$1:L$49,ROW(D18),TRUE)=0,"", HLOOKUP(InvoerRolluik!$H$13,geleiders!F$1:L$49,ROW(D18),TRUE)),"")</f>
        <v/>
      </c>
      <c r="E18" t="str">
        <f>_xlfn.IFNA(IF(HLOOKUP(InvoerRolluik!$I$13,geleiders!F$1:L$49,ROW(E18),TRUE)=0,"", HLOOKUP(InvoerRolluik!$I$13,geleiders!F$1:L$49,ROW(E18),TRUE)),"")</f>
        <v/>
      </c>
      <c r="F18" s="75"/>
      <c r="G18" s="16"/>
      <c r="H18" s="16"/>
      <c r="I18" s="16"/>
      <c r="J18" s="16"/>
      <c r="K18" s="16"/>
      <c r="L18" s="76"/>
    </row>
    <row r="19" spans="1:12" x14ac:dyDescent="0.25">
      <c r="A19" t="str">
        <f>_xlfn.IFNA(IF(HLOOKUP(InvoerRolluik!$E$13,geleiders!F$1:L$49,ROW(A19),TRUE)=0,"", HLOOKUP(InvoerRolluik!$E$13,geleiders!F$1:L$49,ROW(A19),TRUE)),"")</f>
        <v/>
      </c>
      <c r="B19" t="str">
        <f>_xlfn.IFNA(IF(HLOOKUP(InvoerRolluik!$F$13,geleiders!F$1:L$49,ROW(B19),TRUE)=0,"", HLOOKUP(InvoerRolluik!$F$13,geleiders!F$1:L$49,ROW(B19),TRUE)),"")</f>
        <v/>
      </c>
      <c r="C19" t="str">
        <f>_xlfn.IFNA(IF(HLOOKUP(InvoerRolluik!$G$13,geleiders!F$1:L$49,ROW(C19),TRUE)=0,"", HLOOKUP(InvoerRolluik!$G$13,geleiders!F$1:L$49,ROW(C19),TRUE)),"")</f>
        <v/>
      </c>
      <c r="D19" t="str">
        <f>_xlfn.IFNA(IF(HLOOKUP(InvoerRolluik!$H$13,geleiders!F$1:L$49,ROW(D19),TRUE)=0,"", HLOOKUP(InvoerRolluik!$H$13,geleiders!F$1:L$49,ROW(D19),TRUE)),"")</f>
        <v/>
      </c>
      <c r="E19" t="str">
        <f>_xlfn.IFNA(IF(HLOOKUP(InvoerRolluik!$I$13,geleiders!F$1:L$49,ROW(E19),TRUE)=0,"", HLOOKUP(InvoerRolluik!$I$13,geleiders!F$1:L$49,ROW(E19),TRUE)),"")</f>
        <v/>
      </c>
      <c r="F19" s="75"/>
      <c r="G19" s="16"/>
      <c r="H19" s="16"/>
      <c r="I19" s="16"/>
      <c r="J19" s="16"/>
      <c r="K19" s="16"/>
      <c r="L19" s="76"/>
    </row>
    <row r="20" spans="1:12" x14ac:dyDescent="0.25">
      <c r="A20" t="str">
        <f>_xlfn.IFNA(IF(HLOOKUP(InvoerRolluik!$E$13,geleiders!F$1:L$49,ROW(A20),TRUE)=0,"", HLOOKUP(InvoerRolluik!$E$13,geleiders!F$1:L$49,ROW(A20),TRUE)),"")</f>
        <v/>
      </c>
      <c r="B20" t="str">
        <f>_xlfn.IFNA(IF(HLOOKUP(InvoerRolluik!$F$13,geleiders!F$1:L$49,ROW(B20),TRUE)=0,"", HLOOKUP(InvoerRolluik!$F$13,geleiders!F$1:L$49,ROW(B20),TRUE)),"")</f>
        <v/>
      </c>
      <c r="C20" t="str">
        <f>_xlfn.IFNA(IF(HLOOKUP(InvoerRolluik!$G$13,geleiders!F$1:L$49,ROW(C20),TRUE)=0,"", HLOOKUP(InvoerRolluik!$G$13,geleiders!F$1:L$49,ROW(C20),TRUE)),"")</f>
        <v/>
      </c>
      <c r="D20" t="str">
        <f>_xlfn.IFNA(IF(HLOOKUP(InvoerRolluik!$H$13,geleiders!F$1:L$49,ROW(D20),TRUE)=0,"", HLOOKUP(InvoerRolluik!$H$13,geleiders!F$1:L$49,ROW(D20),TRUE)),"")</f>
        <v/>
      </c>
      <c r="E20" t="str">
        <f>_xlfn.IFNA(IF(HLOOKUP(InvoerRolluik!$I$13,geleiders!F$1:L$49,ROW(E20),TRUE)=0,"", HLOOKUP(InvoerRolluik!$I$13,geleiders!F$1:L$49,ROW(E20),TRUE)),"")</f>
        <v/>
      </c>
      <c r="F20" s="75"/>
      <c r="G20" s="16"/>
      <c r="H20" s="16"/>
      <c r="I20" s="16"/>
      <c r="J20" s="16"/>
      <c r="K20" s="16"/>
      <c r="L20" s="76"/>
    </row>
    <row r="21" spans="1:12" x14ac:dyDescent="0.25">
      <c r="A21" t="str">
        <f>_xlfn.IFNA(IF(HLOOKUP(InvoerRolluik!$E$13,geleiders!F$1:L$49,ROW(A21),TRUE)=0,"", HLOOKUP(InvoerRolluik!$E$13,geleiders!F$1:L$49,ROW(A21),TRUE)),"")</f>
        <v/>
      </c>
      <c r="B21" t="str">
        <f>_xlfn.IFNA(IF(HLOOKUP(InvoerRolluik!$F$13,geleiders!F$1:L$49,ROW(B21),TRUE)=0,"", HLOOKUP(InvoerRolluik!$F$13,geleiders!F$1:L$49,ROW(B21),TRUE)),"")</f>
        <v/>
      </c>
      <c r="C21" t="str">
        <f>_xlfn.IFNA(IF(HLOOKUP(InvoerRolluik!$G$13,geleiders!F$1:L$49,ROW(C21),TRUE)=0,"", HLOOKUP(InvoerRolluik!$G$13,geleiders!F$1:L$49,ROW(C21),TRUE)),"")</f>
        <v/>
      </c>
      <c r="D21" t="str">
        <f>_xlfn.IFNA(IF(HLOOKUP(InvoerRolluik!$H$13,geleiders!F$1:L$49,ROW(D21),TRUE)=0,"", HLOOKUP(InvoerRolluik!$H$13,geleiders!F$1:L$49,ROW(D21),TRUE)),"")</f>
        <v/>
      </c>
      <c r="E21" t="str">
        <f>_xlfn.IFNA(IF(HLOOKUP(InvoerRolluik!$I$13,geleiders!F$1:L$49,ROW(E21),TRUE)=0,"", HLOOKUP(InvoerRolluik!$I$13,geleiders!F$1:L$49,ROW(E21),TRUE)),"")</f>
        <v/>
      </c>
      <c r="F21" s="75"/>
      <c r="G21" s="16"/>
      <c r="H21" s="16"/>
      <c r="I21" s="16"/>
      <c r="J21" s="16"/>
      <c r="K21" s="16"/>
      <c r="L21" s="76"/>
    </row>
    <row r="22" spans="1:12" x14ac:dyDescent="0.25">
      <c r="A22" t="str">
        <f>_xlfn.IFNA(IF(HLOOKUP(InvoerRolluik!$E$13,geleiders!F$1:L$49,ROW(A22),TRUE)=0,"", HLOOKUP(InvoerRolluik!$E$13,geleiders!F$1:L$49,ROW(A22),TRUE)),"")</f>
        <v/>
      </c>
      <c r="B22" t="str">
        <f>_xlfn.IFNA(IF(HLOOKUP(InvoerRolluik!$F$13,geleiders!F$1:L$49,ROW(B22),TRUE)=0,"", HLOOKUP(InvoerRolluik!$F$13,geleiders!F$1:L$49,ROW(B22),TRUE)),"")</f>
        <v/>
      </c>
      <c r="C22" t="str">
        <f>_xlfn.IFNA(IF(HLOOKUP(InvoerRolluik!$G$13,geleiders!F$1:L$49,ROW(C22),TRUE)=0,"", HLOOKUP(InvoerRolluik!$G$13,geleiders!F$1:L$49,ROW(C22),TRUE)),"")</f>
        <v/>
      </c>
      <c r="D22" t="str">
        <f>_xlfn.IFNA(IF(HLOOKUP(InvoerRolluik!$H$13,geleiders!F$1:L$49,ROW(D22),TRUE)=0,"", HLOOKUP(InvoerRolluik!$H$13,geleiders!F$1:L$49,ROW(D22),TRUE)),"")</f>
        <v/>
      </c>
      <c r="E22" t="str">
        <f>_xlfn.IFNA(IF(HLOOKUP(InvoerRolluik!$I$13,geleiders!F$1:L$49,ROW(E22),TRUE)=0,"", HLOOKUP(InvoerRolluik!$I$13,geleiders!F$1:L$49,ROW(E22),TRUE)),"")</f>
        <v/>
      </c>
      <c r="F22" s="75"/>
      <c r="G22" s="16"/>
      <c r="H22" s="16"/>
      <c r="I22" s="16"/>
      <c r="J22" s="16"/>
      <c r="K22" s="16"/>
      <c r="L22" s="76"/>
    </row>
    <row r="23" spans="1:12" x14ac:dyDescent="0.25">
      <c r="A23" t="str">
        <f>_xlfn.IFNA(IF(HLOOKUP(InvoerRolluik!$E$13,geleiders!F$1:L$49,ROW(A23),TRUE)=0,"", HLOOKUP(InvoerRolluik!$E$13,geleiders!F$1:L$49,ROW(A23),TRUE)),"")</f>
        <v/>
      </c>
      <c r="B23" t="str">
        <f>_xlfn.IFNA(IF(HLOOKUP(InvoerRolluik!$F$13,geleiders!F$1:L$49,ROW(B23),TRUE)=0,"", HLOOKUP(InvoerRolluik!$F$13,geleiders!F$1:L$49,ROW(B23),TRUE)),"")</f>
        <v/>
      </c>
      <c r="C23" t="str">
        <f>_xlfn.IFNA(IF(HLOOKUP(InvoerRolluik!$G$13,geleiders!F$1:L$49,ROW(C23),TRUE)=0,"", HLOOKUP(InvoerRolluik!$G$13,geleiders!F$1:L$49,ROW(C23),TRUE)),"")</f>
        <v/>
      </c>
      <c r="D23" t="str">
        <f>_xlfn.IFNA(IF(HLOOKUP(InvoerRolluik!$H$13,geleiders!F$1:L$49,ROW(D23),TRUE)=0,"", HLOOKUP(InvoerRolluik!$H$13,geleiders!F$1:L$49,ROW(D23),TRUE)),"")</f>
        <v/>
      </c>
      <c r="E23" t="str">
        <f>_xlfn.IFNA(IF(HLOOKUP(InvoerRolluik!$I$13,geleiders!F$1:L$49,ROW(E23),TRUE)=0,"", HLOOKUP(InvoerRolluik!$I$13,geleiders!F$1:L$49,ROW(E23),TRUE)),"")</f>
        <v/>
      </c>
      <c r="F23" s="75"/>
      <c r="G23" s="16"/>
      <c r="H23" s="16"/>
      <c r="I23" s="16"/>
      <c r="J23" s="16"/>
      <c r="K23" s="16"/>
      <c r="L23" s="76"/>
    </row>
    <row r="24" spans="1:12" x14ac:dyDescent="0.25">
      <c r="A24" t="str">
        <f>_xlfn.IFNA(IF(HLOOKUP(InvoerRolluik!$E$13,geleiders!F$1:L$49,ROW(A24),TRUE)=0,"", HLOOKUP(InvoerRolluik!$E$13,geleiders!F$1:L$49,ROW(A24),TRUE)),"")</f>
        <v/>
      </c>
      <c r="B24" t="str">
        <f>_xlfn.IFNA(IF(HLOOKUP(InvoerRolluik!$F$13,geleiders!F$1:L$49,ROW(B24),TRUE)=0,"", HLOOKUP(InvoerRolluik!$F$13,geleiders!F$1:L$49,ROW(B24),TRUE)),"")</f>
        <v/>
      </c>
      <c r="C24" t="str">
        <f>_xlfn.IFNA(IF(HLOOKUP(InvoerRolluik!$G$13,geleiders!F$1:L$49,ROW(C24),TRUE)=0,"", HLOOKUP(InvoerRolluik!$G$13,geleiders!F$1:L$49,ROW(C24),TRUE)),"")</f>
        <v/>
      </c>
      <c r="D24" t="str">
        <f>_xlfn.IFNA(IF(HLOOKUP(InvoerRolluik!$H$13,geleiders!F$1:L$49,ROW(D24),TRUE)=0,"", HLOOKUP(InvoerRolluik!$H$13,geleiders!F$1:L$49,ROW(D24),TRUE)),"")</f>
        <v/>
      </c>
      <c r="E24" t="str">
        <f>_xlfn.IFNA(IF(HLOOKUP(InvoerRolluik!$I$13,geleiders!F$1:L$49,ROW(E24),TRUE)=0,"", HLOOKUP(InvoerRolluik!$I$13,geleiders!F$1:L$49,ROW(E24),TRUE)),"")</f>
        <v/>
      </c>
      <c r="F24" s="75"/>
      <c r="G24" s="16"/>
      <c r="H24" s="16"/>
      <c r="I24" s="16"/>
      <c r="J24" s="16"/>
      <c r="K24" s="16"/>
      <c r="L24" s="76"/>
    </row>
    <row r="25" spans="1:12" x14ac:dyDescent="0.25">
      <c r="A25" t="str">
        <f>_xlfn.IFNA(IF(HLOOKUP(InvoerRolluik!$E$13,geleiders!F$1:L$49,ROW(A25),TRUE)=0,"", HLOOKUP(InvoerRolluik!$E$13,geleiders!F$1:L$49,ROW(A25),TRUE)),"")</f>
        <v/>
      </c>
      <c r="B25" t="str">
        <f>_xlfn.IFNA(IF(HLOOKUP(InvoerRolluik!$F$13,geleiders!F$1:L$49,ROW(B25),TRUE)=0,"", HLOOKUP(InvoerRolluik!$F$13,geleiders!F$1:L$49,ROW(B25),TRUE)),"")</f>
        <v/>
      </c>
      <c r="C25" t="str">
        <f>_xlfn.IFNA(IF(HLOOKUP(InvoerRolluik!$G$13,geleiders!F$1:L$49,ROW(C25),TRUE)=0,"", HLOOKUP(InvoerRolluik!$G$13,geleiders!F$1:L$49,ROW(C25),TRUE)),"")</f>
        <v/>
      </c>
      <c r="D25" t="str">
        <f>_xlfn.IFNA(IF(HLOOKUP(InvoerRolluik!$H$13,geleiders!F$1:L$49,ROW(D25),TRUE)=0,"", HLOOKUP(InvoerRolluik!$H$13,geleiders!F$1:L$49,ROW(D25),TRUE)),"")</f>
        <v/>
      </c>
      <c r="E25" t="str">
        <f>_xlfn.IFNA(IF(HLOOKUP(InvoerRolluik!$I$13,geleiders!F$1:L$49,ROW(E25),TRUE)=0,"", HLOOKUP(InvoerRolluik!$I$13,geleiders!F$1:L$49,ROW(E25),TRUE)),"")</f>
        <v/>
      </c>
      <c r="F25" s="75"/>
      <c r="G25" s="16"/>
      <c r="H25" s="16"/>
      <c r="I25" s="16"/>
      <c r="J25" s="16"/>
      <c r="K25" s="16"/>
      <c r="L25" s="76"/>
    </row>
    <row r="26" spans="1:12" x14ac:dyDescent="0.25">
      <c r="A26" t="str">
        <f>_xlfn.IFNA(IF(HLOOKUP(InvoerRolluik!$E$13,geleiders!F$1:L$49,ROW(A26),TRUE)=0,"", HLOOKUP(InvoerRolluik!$E$13,geleiders!F$1:L$49,ROW(A26),TRUE)),"")</f>
        <v/>
      </c>
      <c r="B26" t="str">
        <f>_xlfn.IFNA(IF(HLOOKUP(InvoerRolluik!$F$13,geleiders!F$1:L$49,ROW(B26),TRUE)=0,"", HLOOKUP(InvoerRolluik!$F$13,geleiders!F$1:L$49,ROW(B26),TRUE)),"")</f>
        <v/>
      </c>
      <c r="C26" t="str">
        <f>_xlfn.IFNA(IF(HLOOKUP(InvoerRolluik!$G$13,geleiders!F$1:L$49,ROW(C26),TRUE)=0,"", HLOOKUP(InvoerRolluik!$G$13,geleiders!F$1:L$49,ROW(C26),TRUE)),"")</f>
        <v/>
      </c>
      <c r="D26" t="str">
        <f>_xlfn.IFNA(IF(HLOOKUP(InvoerRolluik!$H$13,geleiders!F$1:L$49,ROW(D26),TRUE)=0,"", HLOOKUP(InvoerRolluik!$H$13,geleiders!F$1:L$49,ROW(D26),TRUE)),"")</f>
        <v/>
      </c>
      <c r="E26" t="str">
        <f>_xlfn.IFNA(IF(HLOOKUP(InvoerRolluik!$I$13,geleiders!F$1:L$49,ROW(E26),TRUE)=0,"", HLOOKUP(InvoerRolluik!$I$13,geleiders!F$1:L$49,ROW(E26),TRUE)),"")</f>
        <v/>
      </c>
      <c r="F26" s="75"/>
      <c r="G26" s="16"/>
      <c r="H26" s="16"/>
      <c r="I26" s="16"/>
      <c r="J26" s="16"/>
      <c r="K26" s="16"/>
      <c r="L26" s="76"/>
    </row>
    <row r="27" spans="1:12" x14ac:dyDescent="0.25">
      <c r="A27" t="str">
        <f>_xlfn.IFNA(IF(HLOOKUP(InvoerRolluik!$E$13,geleiders!F$1:L$49,ROW(A27),TRUE)=0,"", HLOOKUP(InvoerRolluik!$E$13,geleiders!F$1:L$49,ROW(A27),TRUE)),"")</f>
        <v/>
      </c>
      <c r="B27" t="str">
        <f>_xlfn.IFNA(IF(HLOOKUP(InvoerRolluik!$F$13,geleiders!F$1:L$49,ROW(B27),TRUE)=0,"", HLOOKUP(InvoerRolluik!$F$13,geleiders!F$1:L$49,ROW(B27),TRUE)),"")</f>
        <v/>
      </c>
      <c r="C27" t="str">
        <f>_xlfn.IFNA(IF(HLOOKUP(InvoerRolluik!$G$13,geleiders!F$1:L$49,ROW(C27),TRUE)=0,"", HLOOKUP(InvoerRolluik!$G$13,geleiders!F$1:L$49,ROW(C27),TRUE)),"")</f>
        <v/>
      </c>
      <c r="D27" t="str">
        <f>_xlfn.IFNA(IF(HLOOKUP(InvoerRolluik!$H$13,geleiders!F$1:L$49,ROW(D27),TRUE)=0,"", HLOOKUP(InvoerRolluik!$H$13,geleiders!F$1:L$49,ROW(D27),TRUE)),"")</f>
        <v/>
      </c>
      <c r="E27" t="str">
        <f>_xlfn.IFNA(IF(HLOOKUP(InvoerRolluik!$I$13,geleiders!F$1:L$49,ROW(E27),TRUE)=0,"", HLOOKUP(InvoerRolluik!$I$13,geleiders!F$1:L$49,ROW(E27),TRUE)),"")</f>
        <v/>
      </c>
      <c r="F27" s="75"/>
      <c r="G27" s="16"/>
      <c r="H27" s="16"/>
      <c r="I27" s="16"/>
      <c r="J27" s="16"/>
      <c r="K27" s="16"/>
      <c r="L27" s="76"/>
    </row>
    <row r="28" spans="1:12" x14ac:dyDescent="0.25">
      <c r="A28" t="str">
        <f>_xlfn.IFNA(IF(HLOOKUP(InvoerRolluik!$E$13,geleiders!F$1:L$49,ROW(A28),TRUE)=0,"", HLOOKUP(InvoerRolluik!$E$13,geleiders!F$1:L$49,ROW(A28),TRUE)),"")</f>
        <v/>
      </c>
      <c r="B28" t="str">
        <f>_xlfn.IFNA(IF(HLOOKUP(InvoerRolluik!$F$13,geleiders!F$1:L$49,ROW(B28),TRUE)=0,"", HLOOKUP(InvoerRolluik!$F$13,geleiders!F$1:L$49,ROW(B28),TRUE)),"")</f>
        <v/>
      </c>
      <c r="C28" t="str">
        <f>_xlfn.IFNA(IF(HLOOKUP(InvoerRolluik!$G$13,geleiders!F$1:L$49,ROW(C28),TRUE)=0,"", HLOOKUP(InvoerRolluik!$G$13,geleiders!F$1:L$49,ROW(C28),TRUE)),"")</f>
        <v/>
      </c>
      <c r="D28" t="str">
        <f>_xlfn.IFNA(IF(HLOOKUP(InvoerRolluik!$H$13,geleiders!F$1:L$49,ROW(D28),TRUE)=0,"", HLOOKUP(InvoerRolluik!$H$13,geleiders!F$1:L$49,ROW(D28),TRUE)),"")</f>
        <v/>
      </c>
      <c r="E28" t="str">
        <f>_xlfn.IFNA(IF(HLOOKUP(InvoerRolluik!$I$13,geleiders!F$1:L$49,ROW(E28),TRUE)=0,"", HLOOKUP(InvoerRolluik!$I$13,geleiders!F$1:L$49,ROW(E28),TRUE)),"")</f>
        <v/>
      </c>
      <c r="F28" s="75"/>
      <c r="G28" s="16"/>
      <c r="H28" s="16"/>
      <c r="I28" s="16"/>
      <c r="J28" s="16"/>
      <c r="K28" s="16"/>
      <c r="L28" s="76"/>
    </row>
    <row r="29" spans="1:12" x14ac:dyDescent="0.25">
      <c r="A29" t="str">
        <f>_xlfn.IFNA(IF(HLOOKUP(InvoerRolluik!$E$13,geleiders!F$1:L$49,ROW(A29),TRUE)=0,"", HLOOKUP(InvoerRolluik!$E$13,geleiders!F$1:L$49,ROW(A29),TRUE)),"")</f>
        <v/>
      </c>
      <c r="B29" t="str">
        <f>_xlfn.IFNA(IF(HLOOKUP(InvoerRolluik!$F$13,geleiders!F$1:L$49,ROW(B29),TRUE)=0,"", HLOOKUP(InvoerRolluik!$F$13,geleiders!F$1:L$49,ROW(B29),TRUE)),"")</f>
        <v/>
      </c>
      <c r="C29" t="str">
        <f>_xlfn.IFNA(IF(HLOOKUP(InvoerRolluik!$G$13,geleiders!F$1:L$49,ROW(C29),TRUE)=0,"", HLOOKUP(InvoerRolluik!$G$13,geleiders!F$1:L$49,ROW(C29),TRUE)),"")</f>
        <v/>
      </c>
      <c r="D29" t="str">
        <f>_xlfn.IFNA(IF(HLOOKUP(InvoerRolluik!$H$13,geleiders!F$1:L$49,ROW(D29),TRUE)=0,"", HLOOKUP(InvoerRolluik!$H$13,geleiders!F$1:L$49,ROW(D29),TRUE)),"")</f>
        <v/>
      </c>
      <c r="E29" t="str">
        <f>_xlfn.IFNA(IF(HLOOKUP(InvoerRolluik!$I$13,geleiders!F$1:L$49,ROW(E29),TRUE)=0,"", HLOOKUP(InvoerRolluik!$I$13,geleiders!F$1:L$49,ROW(E29),TRUE)),"")</f>
        <v/>
      </c>
      <c r="F29" s="75"/>
      <c r="G29" s="16"/>
      <c r="H29" s="16"/>
      <c r="I29" s="16"/>
      <c r="J29" s="16"/>
      <c r="K29" s="16"/>
      <c r="L29" s="76"/>
    </row>
    <row r="30" spans="1:12" x14ac:dyDescent="0.25">
      <c r="A30" t="str">
        <f>_xlfn.IFNA(IF(HLOOKUP(InvoerRolluik!$E$13,geleiders!F$1:L$49,ROW(A30),TRUE)=0,"", HLOOKUP(InvoerRolluik!$E$13,geleiders!F$1:L$49,ROW(A30),TRUE)),"")</f>
        <v/>
      </c>
      <c r="B30" t="str">
        <f>_xlfn.IFNA(IF(HLOOKUP(InvoerRolluik!$F$13,geleiders!F$1:L$49,ROW(B30),TRUE)=0,"", HLOOKUP(InvoerRolluik!$F$13,geleiders!F$1:L$49,ROW(B30),TRUE)),"")</f>
        <v/>
      </c>
      <c r="C30" t="str">
        <f>_xlfn.IFNA(IF(HLOOKUP(InvoerRolluik!$G$13,geleiders!F$1:L$49,ROW(C30),TRUE)=0,"", HLOOKUP(InvoerRolluik!$G$13,geleiders!F$1:L$49,ROW(C30),TRUE)),"")</f>
        <v/>
      </c>
      <c r="D30" t="str">
        <f>_xlfn.IFNA(IF(HLOOKUP(InvoerRolluik!$H$13,geleiders!F$1:L$49,ROW(D30),TRUE)=0,"", HLOOKUP(InvoerRolluik!$H$13,geleiders!F$1:L$49,ROW(D30),TRUE)),"")</f>
        <v/>
      </c>
      <c r="E30" t="str">
        <f>_xlfn.IFNA(IF(HLOOKUP(InvoerRolluik!$I$13,geleiders!F$1:L$49,ROW(E30),TRUE)=0,"", HLOOKUP(InvoerRolluik!$I$13,geleiders!F$1:L$49,ROW(E30),TRUE)),"")</f>
        <v/>
      </c>
      <c r="F30" s="75"/>
      <c r="G30" s="16"/>
      <c r="H30" s="16"/>
      <c r="I30" s="16"/>
      <c r="J30" s="16"/>
      <c r="K30" s="16"/>
      <c r="L30" s="76"/>
    </row>
    <row r="31" spans="1:12" x14ac:dyDescent="0.25">
      <c r="A31" t="str">
        <f>_xlfn.IFNA(IF(HLOOKUP(InvoerRolluik!$E$13,geleiders!F$1:L$49,ROW(A31),TRUE)=0,"", HLOOKUP(InvoerRolluik!$E$13,geleiders!F$1:L$49,ROW(A31),TRUE)),"")</f>
        <v/>
      </c>
      <c r="B31" t="str">
        <f>_xlfn.IFNA(IF(HLOOKUP(InvoerRolluik!$F$13,geleiders!F$1:L$49,ROW(B31),TRUE)=0,"", HLOOKUP(InvoerRolluik!$F$13,geleiders!F$1:L$49,ROW(B31),TRUE)),"")</f>
        <v/>
      </c>
      <c r="C31" t="str">
        <f>_xlfn.IFNA(IF(HLOOKUP(InvoerRolluik!$G$13,geleiders!F$1:L$49,ROW(C31),TRUE)=0,"", HLOOKUP(InvoerRolluik!$G$13,geleiders!F$1:L$49,ROW(C31),TRUE)),"")</f>
        <v/>
      </c>
      <c r="D31" t="str">
        <f>_xlfn.IFNA(IF(HLOOKUP(InvoerRolluik!$H$13,geleiders!F$1:L$49,ROW(D31),TRUE)=0,"", HLOOKUP(InvoerRolluik!$H$13,geleiders!F$1:L$49,ROW(D31),TRUE)),"")</f>
        <v/>
      </c>
      <c r="E31" t="str">
        <f>_xlfn.IFNA(IF(HLOOKUP(InvoerRolluik!$I$13,geleiders!F$1:L$49,ROW(E31),TRUE)=0,"", HLOOKUP(InvoerRolluik!$I$13,geleiders!F$1:L$49,ROW(E31),TRUE)),"")</f>
        <v/>
      </c>
      <c r="F31" s="138" t="s">
        <v>114</v>
      </c>
      <c r="G31" s="139"/>
      <c r="H31" s="139"/>
      <c r="I31" s="139"/>
      <c r="J31" s="139"/>
      <c r="K31" s="139"/>
      <c r="L31" s="140"/>
    </row>
    <row r="32" spans="1:12" x14ac:dyDescent="0.25">
      <c r="A32" t="str">
        <f>_xlfn.IFNA(IF(HLOOKUP(InvoerRolluik!$E$13,geleiders!F$1:L$49,ROW(A32),TRUE)=0,"", HLOOKUP(InvoerRolluik!$E$13,geleiders!F$1:L$49,ROW(A32),TRUE)),"")</f>
        <v/>
      </c>
      <c r="B32" t="str">
        <f>_xlfn.IFNA(IF(HLOOKUP(InvoerRolluik!$F$13,geleiders!F$1:L$49,ROW(B32),TRUE)=0,"", HLOOKUP(InvoerRolluik!$F$13,geleiders!F$1:L$49,ROW(B32),TRUE)),"")</f>
        <v/>
      </c>
      <c r="C32" t="str">
        <f>_xlfn.IFNA(IF(HLOOKUP(InvoerRolluik!$G$13,geleiders!F$1:L$49,ROW(C32),TRUE)=0,"", HLOOKUP(InvoerRolluik!$G$13,geleiders!F$1:L$49,ROW(C32),TRUE)),"")</f>
        <v/>
      </c>
      <c r="D32" t="str">
        <f>_xlfn.IFNA(IF(HLOOKUP(InvoerRolluik!$H$13,geleiders!F$1:L$49,ROW(D32),TRUE)=0,"", HLOOKUP(InvoerRolluik!$H$13,geleiders!F$1:L$49,ROW(D32),TRUE)),"")</f>
        <v/>
      </c>
      <c r="E32" t="str">
        <f>_xlfn.IFNA(IF(HLOOKUP(InvoerRolluik!$I$13,geleiders!F$1:L$49,ROW(E32),TRUE)=0,"", HLOOKUP(InvoerRolluik!$I$13,geleiders!F$1:L$49,ROW(E32),TRUE)),"")</f>
        <v/>
      </c>
      <c r="F32" s="77"/>
      <c r="G32" s="19"/>
      <c r="H32" s="19"/>
      <c r="I32" s="19"/>
      <c r="J32" s="19"/>
      <c r="K32" s="19"/>
      <c r="L32" s="78"/>
    </row>
    <row r="33" spans="1:5" x14ac:dyDescent="0.25">
      <c r="A33" t="str">
        <f>_xlfn.IFNA(IF(HLOOKUP(InvoerRolluik!$E$13,geleiders!F$1:L$49,ROW(A33),TRUE)=0,"", HLOOKUP(InvoerRolluik!$E$13,geleiders!F$1:L$49,ROW(A33),TRUE)),"")</f>
        <v/>
      </c>
      <c r="B33" t="str">
        <f>_xlfn.IFNA(IF(HLOOKUP(InvoerRolluik!$F$13,geleiders!F$1:L$49,ROW(B33),TRUE)=0,"", HLOOKUP(InvoerRolluik!$F$13,geleiders!F$1:L$49,ROW(B33),TRUE)),"")</f>
        <v/>
      </c>
      <c r="C33" t="str">
        <f>_xlfn.IFNA(IF(HLOOKUP(InvoerRolluik!$G$13,geleiders!F$1:L$49,ROW(C33),TRUE)=0,"", HLOOKUP(InvoerRolluik!$G$13,geleiders!F$1:L$49,ROW(C33),TRUE)),"")</f>
        <v/>
      </c>
      <c r="D33" t="str">
        <f>_xlfn.IFNA(IF(HLOOKUP(InvoerRolluik!$H$13,geleiders!F$1:L$49,ROW(D33),TRUE)=0,"", HLOOKUP(InvoerRolluik!$H$13,geleiders!F$1:L$49,ROW(D33),TRUE)),"")</f>
        <v/>
      </c>
      <c r="E33" t="str">
        <f>_xlfn.IFNA(IF(HLOOKUP(InvoerRolluik!$I$13,geleiders!F$1:L$49,ROW(E33),TRUE)=0,"", HLOOKUP(InvoerRolluik!$I$13,geleiders!F$1:L$49,ROW(E33),TRUE)),"")</f>
        <v/>
      </c>
    </row>
    <row r="34" spans="1:5" x14ac:dyDescent="0.25">
      <c r="A34" t="str">
        <f>_xlfn.IFNA(IF(HLOOKUP(InvoerRolluik!$E$13,geleiders!F$1:L$49,ROW(A34),TRUE)=0,"", HLOOKUP(InvoerRolluik!$E$13,geleiders!F$1:L$49,ROW(A34),TRUE)),"")</f>
        <v/>
      </c>
      <c r="B34" t="str">
        <f>_xlfn.IFNA(IF(HLOOKUP(InvoerRolluik!$F$13,geleiders!F$1:L$49,ROW(B34),TRUE)=0,"", HLOOKUP(InvoerRolluik!$F$13,geleiders!F$1:L$49,ROW(B34),TRUE)),"")</f>
        <v/>
      </c>
      <c r="C34" t="str">
        <f>_xlfn.IFNA(IF(HLOOKUP(InvoerRolluik!$G$13,geleiders!F$1:L$49,ROW(C34),TRUE)=0,"", HLOOKUP(InvoerRolluik!$G$13,geleiders!F$1:L$49,ROW(C34),TRUE)),"")</f>
        <v/>
      </c>
      <c r="D34" t="str">
        <f>_xlfn.IFNA(IF(HLOOKUP(InvoerRolluik!$H$13,geleiders!F$1:L$49,ROW(D34),TRUE)=0,"", HLOOKUP(InvoerRolluik!$H$13,geleiders!F$1:L$49,ROW(D34),TRUE)),"")</f>
        <v/>
      </c>
      <c r="E34" t="str">
        <f>_xlfn.IFNA(IF(HLOOKUP(InvoerRolluik!$I$13,geleiders!F$1:L$49,ROW(E34),TRUE)=0,"", HLOOKUP(InvoerRolluik!$I$13,geleiders!F$1:L$49,ROW(E34),TRUE)),"")</f>
        <v/>
      </c>
    </row>
    <row r="35" spans="1:5" x14ac:dyDescent="0.25">
      <c r="A35" t="str">
        <f>_xlfn.IFNA(IF(HLOOKUP(InvoerRolluik!$E$13,geleiders!F$1:L$49,ROW(A35),TRUE)=0,"", HLOOKUP(InvoerRolluik!$E$13,geleiders!F$1:L$49,ROW(A35),TRUE)),"")</f>
        <v/>
      </c>
      <c r="B35" t="str">
        <f>_xlfn.IFNA(IF(HLOOKUP(InvoerRolluik!$F$13,geleiders!F$1:L$49,ROW(B35),TRUE)=0,"", HLOOKUP(InvoerRolluik!$F$13,geleiders!F$1:L$49,ROW(B35),TRUE)),"")</f>
        <v/>
      </c>
      <c r="C35" t="str">
        <f>_xlfn.IFNA(IF(HLOOKUP(InvoerRolluik!$G$13,geleiders!F$1:L$49,ROW(C35),TRUE)=0,"", HLOOKUP(InvoerRolluik!$G$13,geleiders!F$1:L$49,ROW(C35),TRUE)),"")</f>
        <v/>
      </c>
      <c r="D35" t="str">
        <f>_xlfn.IFNA(IF(HLOOKUP(InvoerRolluik!$H$13,geleiders!F$1:L$49,ROW(D35),TRUE)=0,"", HLOOKUP(InvoerRolluik!$H$13,geleiders!F$1:L$49,ROW(D35),TRUE)),"")</f>
        <v/>
      </c>
      <c r="E35" t="str">
        <f>_xlfn.IFNA(IF(HLOOKUP(InvoerRolluik!$I$13,geleiders!F$1:L$49,ROW(E35),TRUE)=0,"", HLOOKUP(InvoerRolluik!$I$13,geleiders!F$1:L$49,ROW(E35),TRUE)),"")</f>
        <v/>
      </c>
    </row>
    <row r="36" spans="1:5" x14ac:dyDescent="0.25">
      <c r="A36" t="str">
        <f>_xlfn.IFNA(IF(HLOOKUP(InvoerRolluik!$E$13,geleiders!F$1:L$49,ROW(A36),TRUE)=0,"", HLOOKUP(InvoerRolluik!$E$13,geleiders!F$1:L$49,ROW(A36),TRUE)),"")</f>
        <v/>
      </c>
      <c r="B36" t="str">
        <f>_xlfn.IFNA(IF(HLOOKUP(InvoerRolluik!$F$13,geleiders!F$1:L$49,ROW(B36),TRUE)=0,"", HLOOKUP(InvoerRolluik!$F$13,geleiders!F$1:L$49,ROW(B36),TRUE)),"")</f>
        <v/>
      </c>
      <c r="C36" t="str">
        <f>_xlfn.IFNA(IF(HLOOKUP(InvoerRolluik!$G$13,geleiders!F$1:L$49,ROW(C36),TRUE)=0,"", HLOOKUP(InvoerRolluik!$G$13,geleiders!F$1:L$49,ROW(C36),TRUE)),"")</f>
        <v/>
      </c>
      <c r="D36" t="str">
        <f>_xlfn.IFNA(IF(HLOOKUP(InvoerRolluik!$H$13,geleiders!F$1:L$49,ROW(D36),TRUE)=0,"", HLOOKUP(InvoerRolluik!$H$13,geleiders!F$1:L$49,ROW(D36),TRUE)),"")</f>
        <v/>
      </c>
      <c r="E36" t="str">
        <f>_xlfn.IFNA(IF(HLOOKUP(InvoerRolluik!$I$13,geleiders!F$1:L$49,ROW(E36),TRUE)=0,"", HLOOKUP(InvoerRolluik!$I$13,geleiders!F$1:L$49,ROW(E36),TRUE)),"")</f>
        <v/>
      </c>
    </row>
    <row r="37" spans="1:5" x14ac:dyDescent="0.25">
      <c r="B37" t="str">
        <f>_xlfn.IFNA(IF(HLOOKUP(InvoerRolluik!$F$13,geleiders!F$1:L$49,ROW(B37),TRUE)=0,"", HLOOKUP(InvoerRolluik!$F$13,geleiders!F$1:L$49,ROW(B37),TRUE)),"")</f>
        <v/>
      </c>
      <c r="C37" t="str">
        <f>_xlfn.IFNA(IF(HLOOKUP(InvoerRolluik!$G$13,geleiders!F$1:L$49,ROW(C37),TRUE)=0,"", HLOOKUP(InvoerRolluik!$G$13,geleiders!F$1:L$49,ROW(C37),TRUE)),"")</f>
        <v/>
      </c>
      <c r="D37" t="str">
        <f>_xlfn.IFNA(IF(HLOOKUP(InvoerRolluik!$H$13,geleiders!F$1:L$49,ROW(D37),TRUE)=0,"", HLOOKUP(InvoerRolluik!$H$13,geleiders!F$1:L$49,ROW(D37),TRUE)),"")</f>
        <v/>
      </c>
      <c r="E37" t="str">
        <f>_xlfn.IFNA(IF(HLOOKUP(InvoerRolluik!$I$13,geleiders!F$1:L$49,ROW(E37),TRUE)=0,"", HLOOKUP(InvoerRolluik!$I$13,geleiders!F$1:L$49,ROW(E37),TRUE)),"")</f>
        <v/>
      </c>
    </row>
    <row r="38" spans="1:5" x14ac:dyDescent="0.25">
      <c r="B38" t="str">
        <f>_xlfn.IFNA(IF(HLOOKUP(InvoerRolluik!$F$13,geleiders!F$1:L$49,ROW(B38),TRUE)=0,"", HLOOKUP(InvoerRolluik!$F$13,geleiders!F$1:L$49,ROW(B38),TRUE)),"")</f>
        <v/>
      </c>
      <c r="C38" t="str">
        <f>_xlfn.IFNA(IF(HLOOKUP(InvoerRolluik!$G$13,geleiders!F$1:L$49,ROW(C38),TRUE)=0,"", HLOOKUP(InvoerRolluik!$G$13,geleiders!F$1:L$49,ROW(C38),TRUE)),"")</f>
        <v/>
      </c>
      <c r="D38" t="str">
        <f>_xlfn.IFNA(IF(HLOOKUP(InvoerRolluik!$H$13,geleiders!F$1:L$49,ROW(D38),TRUE)=0,"", HLOOKUP(InvoerRolluik!$H$13,geleiders!F$1:L$49,ROW(D38),TRUE)),"")</f>
        <v/>
      </c>
      <c r="E38" t="str">
        <f>_xlfn.IFNA(IF(HLOOKUP(InvoerRolluik!$I$13,geleiders!F$1:L$49,ROW(E38),TRUE)=0,"", HLOOKUP(InvoerRolluik!$I$13,geleiders!F$1:L$49,ROW(E38),TRUE)),"")</f>
        <v/>
      </c>
    </row>
    <row r="39" spans="1:5" x14ac:dyDescent="0.25">
      <c r="E39" t="str">
        <f>_xlfn.IFNA(IF(HLOOKUP(InvoerRolluik!$I$13,geleiders!F$1:L$49,ROW(E39),TRUE)=0,"", HLOOKUP(InvoerRolluik!$I$13,geleiders!F$1:L$49,ROW(E39),TRUE)),"")</f>
        <v/>
      </c>
    </row>
    <row r="40" spans="1:5" x14ac:dyDescent="0.25">
      <c r="E40" t="str">
        <f>_xlfn.IFNA(IF(HLOOKUP(InvoerRolluik!$I$13,geleiders!F$1:L$49,ROW(E40),TRUE)=0,"", HLOOKUP(InvoerRolluik!$I$13,geleiders!F$1:L$49,ROW(E40),TRUE)),"")</f>
        <v/>
      </c>
    </row>
    <row r="41" spans="1:5" x14ac:dyDescent="0.25">
      <c r="E41" t="str">
        <f>_xlfn.IFNA(IF(HLOOKUP(InvoerRolluik!$I$13,geleiders!F$1:L$49,ROW(E41),TRUE)=0,"", HLOOKUP(InvoerRolluik!$I$13,geleiders!F$1:L$49,ROW(E41),TRUE)),"")</f>
        <v/>
      </c>
    </row>
    <row r="42" spans="1:5" x14ac:dyDescent="0.25">
      <c r="E42" t="str">
        <f>_xlfn.IFNA(IF(HLOOKUP(InvoerRolluik!$I$13,geleiders!F$1:L$49,ROW(E42),TRUE)=0,"", HLOOKUP(InvoerRolluik!$I$13,geleiders!F$1:L$49,ROW(E42),TRUE)),"")</f>
        <v/>
      </c>
    </row>
    <row r="43" spans="1:5" x14ac:dyDescent="0.25">
      <c r="E43" t="str">
        <f>_xlfn.IFNA(IF(HLOOKUP(InvoerRolluik!$I$13,geleiders!F$1:L$49,ROW(E43),TRUE)=0,"", HLOOKUP(InvoerRolluik!$I$13,geleiders!F$1:L$49,ROW(E43),TRUE)),"")</f>
        <v/>
      </c>
    </row>
    <row r="44" spans="1:5" x14ac:dyDescent="0.25">
      <c r="E44" t="str">
        <f>_xlfn.IFNA(IF(HLOOKUP(InvoerRolluik!$I$13,geleiders!F$1:L$49,ROW(E44),TRUE)=0,"", HLOOKUP(InvoerRolluik!$I$13,geleiders!F$1:L$49,ROW(E44),TRUE)),"")</f>
        <v/>
      </c>
    </row>
    <row r="45" spans="1:5" x14ac:dyDescent="0.25">
      <c r="E45" t="str">
        <f>_xlfn.IFNA(IF(HLOOKUP(InvoerRolluik!$I$13,geleiders!F$1:L$49,ROW(E45),TRUE)=0,"", HLOOKUP(InvoerRolluik!$I$13,geleiders!F$1:L$49,ROW(E45),TRUE)),"")</f>
        <v/>
      </c>
    </row>
    <row r="46" spans="1:5" x14ac:dyDescent="0.25">
      <c r="E46" t="str">
        <f>_xlfn.IFNA(IF(HLOOKUP(InvoerRolluik!$I$13,geleiders!F$1:L$49,ROW(E46),TRUE)=0,"", HLOOKUP(InvoerRolluik!$I$13,geleiders!F$1:L$49,ROW(E46),TRUE)),"")</f>
        <v/>
      </c>
    </row>
    <row r="47" spans="1:5" x14ac:dyDescent="0.25">
      <c r="E47" t="str">
        <f>_xlfn.IFNA(IF(HLOOKUP(InvoerRolluik!$I$13,geleiders!F$1:L$49,ROW(E47),TRUE)=0,"", HLOOKUP(InvoerRolluik!$I$13,geleiders!F$1:L$49,ROW(E47),TRUE)),"")</f>
        <v/>
      </c>
    </row>
    <row r="48" spans="1:5" x14ac:dyDescent="0.25">
      <c r="E48" t="str">
        <f>_xlfn.IFNA(IF(HLOOKUP(InvoerRolluik!$I$13,geleiders!F$1:L$49,ROW(E48),TRUE)=0,"", HLOOKUP(InvoerRolluik!$I$13,geleiders!F$1:L$49,ROW(E48),TRUE)),"")</f>
        <v/>
      </c>
    </row>
    <row r="49" spans="5:5" x14ac:dyDescent="0.25">
      <c r="E49" t="str">
        <f>_xlfn.IFNA(IF(HLOOKUP(InvoerRolluik!$I$13,geleiders!F$1:L$49,ROW(E49),TRUE)=0,"", HLOOKUP(InvoerRolluik!$I$13,geleiders!F$1:L$49,ROW(E49),TRUE)),"")</f>
        <v/>
      </c>
    </row>
    <row r="50" spans="5:5" x14ac:dyDescent="0.25">
      <c r="E50" t="str">
        <f>_xlfn.IFNA(IF(HLOOKUP(InvoerRolluik!$I$13,geleiders!F$1:L$49,ROW(E50),TRUE)=0,"", HLOOKUP(InvoerRolluik!$I$13,geleiders!F$1:L$49,ROW(E50),TRUE)),"")</f>
        <v/>
      </c>
    </row>
    <row r="51" spans="5:5" x14ac:dyDescent="0.25">
      <c r="E51" t="str">
        <f>_xlfn.IFNA(IF(HLOOKUP(InvoerRolluik!$I$13,geleiders!F$1:L$49,ROW(E51),TRUE)=0,"", HLOOKUP(InvoerRolluik!$I$13,geleiders!F$1:L$49,ROW(E51),TRUE)),"")</f>
        <v/>
      </c>
    </row>
    <row r="52" spans="5:5" x14ac:dyDescent="0.25">
      <c r="E52" t="str">
        <f>_xlfn.IFNA(IF(HLOOKUP(InvoerRolluik!$I$13,geleiders!F$1:L$49,ROW(E52),TRUE)=0,"", HLOOKUP(InvoerRolluik!$I$13,geleiders!F$1:L$49,ROW(E52),TRUE)),"")</f>
        <v/>
      </c>
    </row>
  </sheetData>
  <mergeCells count="1">
    <mergeCell ref="F31:L3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49D8A-C159-4860-88A1-72F0421974D6}">
  <dimension ref="A1:L36"/>
  <sheetViews>
    <sheetView workbookViewId="0">
      <selection activeCell="K14" sqref="K14"/>
    </sheetView>
  </sheetViews>
  <sheetFormatPr defaultRowHeight="15" x14ac:dyDescent="0.25"/>
  <cols>
    <col min="1" max="12" width="20.7109375" customWidth="1"/>
  </cols>
  <sheetData>
    <row r="1" spans="1:12" ht="30" x14ac:dyDescent="0.25">
      <c r="A1" s="85" t="s">
        <v>104</v>
      </c>
      <c r="B1" s="85" t="s">
        <v>105</v>
      </c>
      <c r="C1" s="85" t="s">
        <v>106</v>
      </c>
      <c r="D1" s="85" t="s">
        <v>107</v>
      </c>
      <c r="E1" s="85" t="s">
        <v>108</v>
      </c>
      <c r="F1" s="86" t="str">
        <f>Bron!A3</f>
        <v>Ecoroll L
42mm lamel</v>
      </c>
      <c r="G1" s="87" t="str">
        <f>Bron!A4</f>
        <v>Ecoroll M
37mm lamel</v>
      </c>
      <c r="H1" s="87" t="str">
        <f>Bron!A9</f>
        <v>EcoRoll XL52
52mm lamel</v>
      </c>
      <c r="I1" s="87" t="str">
        <f>Bron!A10</f>
        <v>EcoRoll XL55
55mm lamel</v>
      </c>
      <c r="J1" s="87" t="str">
        <f>Bron!A11</f>
        <v>EcoRoll XXL77
77mm lamel</v>
      </c>
      <c r="K1" s="87" t="str">
        <f>Bron!A6</f>
        <v>Rollex L 
42mm lamel</v>
      </c>
      <c r="L1" s="88" t="str">
        <f>Bron!A7</f>
        <v>Rollex M
37mm lamel</v>
      </c>
    </row>
    <row r="2" spans="1:12" x14ac:dyDescent="0.25">
      <c r="A2" s="36"/>
      <c r="B2" s="36"/>
      <c r="C2" s="36"/>
      <c r="D2" s="36"/>
      <c r="E2" s="36"/>
      <c r="F2" s="72"/>
      <c r="G2" s="73"/>
      <c r="H2" s="73"/>
      <c r="I2" s="73"/>
      <c r="J2" s="73"/>
      <c r="K2" s="73"/>
      <c r="L2" s="74"/>
    </row>
    <row r="3" spans="1:12" x14ac:dyDescent="0.25">
      <c r="A3" t="str">
        <f>_xlfn.IFNA(IF(HLOOKUP(InvoerRolluik!$E$13,Pantser!F$1:L$49,ROW(A3),TRUE)=0,"", HLOOKUP(InvoerRolluik!$E$13,Pantser!F$1:L$49,ROW(A3),TRUE)),"")</f>
        <v/>
      </c>
      <c r="B3" t="str">
        <f>_xlfn.IFNA(IF(HLOOKUP(InvoerRolluik!$F$13,Pantser!F$1:L$49,ROW(B3),TRUE)=0,"", HLOOKUP(InvoerRolluik!$F$13,Pantser!F$1:L$49,ROW(B3),TRUE)),"")</f>
        <v/>
      </c>
      <c r="C3" t="str">
        <f>_xlfn.IFNA(IF(HLOOKUP(InvoerRolluik!$G$13,Pantser!F$1:L$49,ROW(C3),TRUE)=0,"", HLOOKUP(InvoerRolluik!$G$13,Pantser!F$1:L$49,ROW(C3),TRUE)),"")</f>
        <v/>
      </c>
      <c r="D3" t="str">
        <f>_xlfn.IFNA(IF(HLOOKUP(InvoerRolluik!$H$13,Pantser!F$1:L$49,ROW(D3),TRUE)=0,"", HLOOKUP(InvoerRolluik!$H$13,Pantser!F$1:L$49,ROW(D3),TRUE)),"")</f>
        <v/>
      </c>
      <c r="E3" t="str">
        <f>_xlfn.IFNA(IF(HLOOKUP(InvoerRolluik!$I$13,Pantser!F$1:L$49,ROW(E3),TRUE)=0,"", HLOOKUP(InvoerRolluik!$I$13,Pantser!F$1:L$49,ROW(E3),TRUE)),"")</f>
        <v/>
      </c>
      <c r="F3" s="75" t="s">
        <v>75</v>
      </c>
      <c r="G3" s="16" t="s">
        <v>75</v>
      </c>
      <c r="H3" s="16" t="s">
        <v>75</v>
      </c>
      <c r="I3" s="16" t="s">
        <v>75</v>
      </c>
      <c r="J3" s="16" t="s">
        <v>75</v>
      </c>
      <c r="K3" s="16" t="s">
        <v>75</v>
      </c>
      <c r="L3" s="76" t="s">
        <v>75</v>
      </c>
    </row>
    <row r="4" spans="1:12" x14ac:dyDescent="0.25">
      <c r="A4" t="str">
        <f>_xlfn.IFNA(IF(HLOOKUP(InvoerRolluik!$E$13,Pantser!F$1:L$49,ROW(A4),TRUE)=0,"", HLOOKUP(InvoerRolluik!$E$13,Pantser!F$1:L$49,ROW(A4),TRUE)),"")</f>
        <v/>
      </c>
      <c r="B4" t="str">
        <f>_xlfn.IFNA(IF(HLOOKUP(InvoerRolluik!$F$13,Pantser!F$1:L$49,ROW(B4),TRUE)=0,"", HLOOKUP(InvoerRolluik!$F$13,Pantser!F$1:L$49,ROW(B4),TRUE)),"")</f>
        <v/>
      </c>
      <c r="C4" t="str">
        <f>_xlfn.IFNA(IF(HLOOKUP(InvoerRolluik!$G$13,Pantser!F$1:L$49,ROW(C4),TRUE)=0,"", HLOOKUP(InvoerRolluik!$G$13,Pantser!F$1:L$49,ROW(C4),TRUE)),"")</f>
        <v/>
      </c>
      <c r="D4" t="str">
        <f>_xlfn.IFNA(IF(HLOOKUP(InvoerRolluik!$H$13,Pantser!F$1:L$49,ROW(D4),TRUE)=0,"", HLOOKUP(InvoerRolluik!$H$13,Pantser!F$1:L$49,ROW(D4),TRUE)),"")</f>
        <v/>
      </c>
      <c r="E4" t="str">
        <f>_xlfn.IFNA(IF(HLOOKUP(InvoerRolluik!$I$13,Pantser!F$1:L$49,ROW(E4),TRUE)=0,"", HLOOKUP(InvoerRolluik!$I$13,Pantser!F$1:L$49,ROW(E4),TRUE)),"")</f>
        <v/>
      </c>
      <c r="F4" s="75" t="s">
        <v>76</v>
      </c>
      <c r="G4" s="16" t="s">
        <v>76</v>
      </c>
      <c r="H4" s="16" t="s">
        <v>76</v>
      </c>
      <c r="I4" s="16" t="s">
        <v>76</v>
      </c>
      <c r="J4" s="16" t="s">
        <v>76</v>
      </c>
      <c r="K4" s="16" t="s">
        <v>76</v>
      </c>
      <c r="L4" s="76" t="s">
        <v>76</v>
      </c>
    </row>
    <row r="5" spans="1:12" x14ac:dyDescent="0.25">
      <c r="A5" t="str">
        <f>_xlfn.IFNA(IF(HLOOKUP(InvoerRolluik!$E$13,Pantser!F$1:L$49,ROW(A5),TRUE)=0,"", HLOOKUP(InvoerRolluik!$E$13,Pantser!F$1:L$49,ROW(A5),TRUE)),"")</f>
        <v/>
      </c>
      <c r="B5" t="str">
        <f>_xlfn.IFNA(IF(HLOOKUP(InvoerRolluik!$F$13,Pantser!F$1:L$49,ROW(B5),TRUE)=0,"", HLOOKUP(InvoerRolluik!$F$13,Pantser!F$1:L$49,ROW(B5),TRUE)),"")</f>
        <v/>
      </c>
      <c r="C5" t="str">
        <f>_xlfn.IFNA(IF(HLOOKUP(InvoerRolluik!$G$13,Pantser!F$1:L$49,ROW(C5),TRUE)=0,"", HLOOKUP(InvoerRolluik!$G$13,Pantser!F$1:L$49,ROW(C5),TRUE)),"")</f>
        <v/>
      </c>
      <c r="D5" t="str">
        <f>_xlfn.IFNA(IF(HLOOKUP(InvoerRolluik!$H$13,Pantser!F$1:L$49,ROW(D5),TRUE)=0,"", HLOOKUP(InvoerRolluik!$H$13,Pantser!F$1:L$49,ROW(D5),TRUE)),"")</f>
        <v/>
      </c>
      <c r="E5" t="str">
        <f>_xlfn.IFNA(IF(HLOOKUP(InvoerRolluik!$I$13,Pantser!F$1:L$49,ROW(E5),TRUE)=0,"", HLOOKUP(InvoerRolluik!$I$13,Pantser!F$1:L$49,ROW(E5),TRUE)),"")</f>
        <v/>
      </c>
      <c r="F5" s="75" t="s">
        <v>77</v>
      </c>
      <c r="G5" s="16" t="s">
        <v>77</v>
      </c>
      <c r="H5" s="16" t="s">
        <v>77</v>
      </c>
      <c r="I5" s="16" t="s">
        <v>77</v>
      </c>
      <c r="J5" s="16" t="s">
        <v>77</v>
      </c>
      <c r="K5" s="16" t="s">
        <v>77</v>
      </c>
      <c r="L5" s="76" t="s">
        <v>77</v>
      </c>
    </row>
    <row r="6" spans="1:12" x14ac:dyDescent="0.25">
      <c r="A6" t="str">
        <f>_xlfn.IFNA(IF(HLOOKUP(InvoerRolluik!$E$13,Pantser!F$1:L$49,ROW(A6),TRUE)=0,"", HLOOKUP(InvoerRolluik!$E$13,Pantser!F$1:L$49,ROW(A6),TRUE)),"")</f>
        <v/>
      </c>
      <c r="B6" t="str">
        <f>_xlfn.IFNA(IF(HLOOKUP(InvoerRolluik!$F$13,Pantser!F$1:L$49,ROW(B6),TRUE)=0,"", HLOOKUP(InvoerRolluik!$F$13,Pantser!F$1:L$49,ROW(B6),TRUE)),"")</f>
        <v/>
      </c>
      <c r="C6" t="str">
        <f>_xlfn.IFNA(IF(HLOOKUP(InvoerRolluik!$G$13,Pantser!F$1:L$49,ROW(C6),TRUE)=0,"", HLOOKUP(InvoerRolluik!$G$13,Pantser!F$1:L$49,ROW(C6),TRUE)),"")</f>
        <v/>
      </c>
      <c r="D6" t="str">
        <f>_xlfn.IFNA(IF(HLOOKUP(InvoerRolluik!$H$13,Pantser!F$1:L$49,ROW(D6),TRUE)=0,"", HLOOKUP(InvoerRolluik!$H$13,Pantser!F$1:L$49,ROW(D6),TRUE)),"")</f>
        <v/>
      </c>
      <c r="E6" t="str">
        <f>_xlfn.IFNA(IF(HLOOKUP(InvoerRolluik!$I$13,Pantser!F$1:L$49,ROW(E6),TRUE)=0,"", HLOOKUP(InvoerRolluik!$I$13,Pantser!F$1:L$49,ROW(E6),TRUE)),"")</f>
        <v/>
      </c>
      <c r="F6" s="75" t="s">
        <v>78</v>
      </c>
      <c r="G6" s="16" t="s">
        <v>78</v>
      </c>
      <c r="H6" s="16" t="s">
        <v>78</v>
      </c>
      <c r="I6" s="16" t="s">
        <v>78</v>
      </c>
      <c r="J6" s="16" t="s">
        <v>78</v>
      </c>
      <c r="K6" s="16" t="s">
        <v>78</v>
      </c>
      <c r="L6" s="76" t="s">
        <v>78</v>
      </c>
    </row>
    <row r="7" spans="1:12" x14ac:dyDescent="0.25">
      <c r="A7" t="str">
        <f>_xlfn.IFNA(IF(HLOOKUP(InvoerRolluik!$E$13,Pantser!F$1:L$49,ROW(A7),TRUE)=0,"", HLOOKUP(InvoerRolluik!$E$13,Pantser!F$1:L$49,ROW(A7),TRUE)),"")</f>
        <v/>
      </c>
      <c r="B7" t="str">
        <f>_xlfn.IFNA(IF(HLOOKUP(InvoerRolluik!$F$13,Pantser!F$1:L$49,ROW(B7),TRUE)=0,"", HLOOKUP(InvoerRolluik!$F$13,Pantser!F$1:L$49,ROW(B7),TRUE)),"")</f>
        <v/>
      </c>
      <c r="C7" t="str">
        <f>_xlfn.IFNA(IF(HLOOKUP(InvoerRolluik!$G$13,Pantser!F$1:L$49,ROW(C7),TRUE)=0,"", HLOOKUP(InvoerRolluik!$G$13,Pantser!F$1:L$49,ROW(C7),TRUE)),"")</f>
        <v/>
      </c>
      <c r="D7" t="str">
        <f>_xlfn.IFNA(IF(HLOOKUP(InvoerRolluik!$H$13,Pantser!F$1:L$49,ROW(D7),TRUE)=0,"", HLOOKUP(InvoerRolluik!$H$13,Pantser!F$1:L$49,ROW(D7),TRUE)),"")</f>
        <v/>
      </c>
      <c r="E7" t="str">
        <f>_xlfn.IFNA(IF(HLOOKUP(InvoerRolluik!$I$13,Pantser!F$1:L$49,ROW(E7),TRUE)=0,"", HLOOKUP(InvoerRolluik!$I$13,Pantser!F$1:L$49,ROW(E7),TRUE)),"")</f>
        <v/>
      </c>
      <c r="F7" s="75" t="s">
        <v>79</v>
      </c>
      <c r="G7" s="16" t="s">
        <v>79</v>
      </c>
      <c r="H7" s="16" t="s">
        <v>79</v>
      </c>
      <c r="I7" s="16" t="s">
        <v>79</v>
      </c>
      <c r="J7" s="16" t="s">
        <v>79</v>
      </c>
      <c r="K7" s="16" t="s">
        <v>79</v>
      </c>
      <c r="L7" s="76" t="s">
        <v>79</v>
      </c>
    </row>
    <row r="8" spans="1:12" x14ac:dyDescent="0.25">
      <c r="A8" t="str">
        <f>_xlfn.IFNA(IF(HLOOKUP(InvoerRolluik!$E$13,Pantser!F$1:L$49,ROW(A8),TRUE)=0,"", HLOOKUP(InvoerRolluik!$E$13,Pantser!F$1:L$49,ROW(A8),TRUE)),"")</f>
        <v/>
      </c>
      <c r="B8" t="str">
        <f>_xlfn.IFNA(IF(HLOOKUP(InvoerRolluik!$F$13,Pantser!F$1:L$49,ROW(B8),TRUE)=0,"", HLOOKUP(InvoerRolluik!$F$13,Pantser!F$1:L$49,ROW(B8),TRUE)),"")</f>
        <v/>
      </c>
      <c r="C8" t="str">
        <f>_xlfn.IFNA(IF(HLOOKUP(InvoerRolluik!$G$13,Pantser!F$1:L$49,ROW(C8),TRUE)=0,"", HLOOKUP(InvoerRolluik!$G$13,Pantser!F$1:L$49,ROW(C8),TRUE)),"")</f>
        <v/>
      </c>
      <c r="D8" t="str">
        <f>_xlfn.IFNA(IF(HLOOKUP(InvoerRolluik!$H$13,Pantser!F$1:L$49,ROW(D8),TRUE)=0,"", HLOOKUP(InvoerRolluik!$H$13,Pantser!F$1:L$49,ROW(D8),TRUE)),"")</f>
        <v/>
      </c>
      <c r="E8" t="str">
        <f>_xlfn.IFNA(IF(HLOOKUP(InvoerRolluik!$I$13,Pantser!F$1:L$49,ROW(E8),TRUE)=0,"", HLOOKUP(InvoerRolluik!$I$13,Pantser!F$1:L$49,ROW(E8),TRUE)),"")</f>
        <v/>
      </c>
      <c r="F8" s="75" t="s">
        <v>80</v>
      </c>
      <c r="G8" s="16" t="s">
        <v>80</v>
      </c>
      <c r="H8" s="16" t="s">
        <v>80</v>
      </c>
      <c r="I8" s="16" t="s">
        <v>86</v>
      </c>
      <c r="J8" s="16" t="s">
        <v>86</v>
      </c>
      <c r="K8" s="16" t="s">
        <v>80</v>
      </c>
      <c r="L8" s="76" t="s">
        <v>80</v>
      </c>
    </row>
    <row r="9" spans="1:12" x14ac:dyDescent="0.25">
      <c r="A9" t="str">
        <f>_xlfn.IFNA(IF(HLOOKUP(InvoerRolluik!$E$13,Pantser!F$1:L$49,ROW(A9),TRUE)=0,"", HLOOKUP(InvoerRolluik!$E$13,Pantser!F$1:L$49,ROW(A9),TRUE)),"")</f>
        <v/>
      </c>
      <c r="B9" t="str">
        <f>_xlfn.IFNA(IF(HLOOKUP(InvoerRolluik!$F$13,Pantser!F$1:L$49,ROW(B9),TRUE)=0,"", HLOOKUP(InvoerRolluik!$F$13,Pantser!F$1:L$49,ROW(B9),TRUE)),"")</f>
        <v/>
      </c>
      <c r="C9" t="str">
        <f>_xlfn.IFNA(IF(HLOOKUP(InvoerRolluik!$G$13,Pantser!F$1:L$49,ROW(C9),TRUE)=0,"", HLOOKUP(InvoerRolluik!$G$13,Pantser!F$1:L$49,ROW(C9),TRUE)),"")</f>
        <v/>
      </c>
      <c r="D9" t="str">
        <f>_xlfn.IFNA(IF(HLOOKUP(InvoerRolluik!$H$13,Pantser!F$1:L$49,ROW(D9),TRUE)=0,"", HLOOKUP(InvoerRolluik!$H$13,Pantser!F$1:L$49,ROW(D9),TRUE)),"")</f>
        <v/>
      </c>
      <c r="E9" t="str">
        <f>_xlfn.IFNA(IF(HLOOKUP(InvoerRolluik!$I$13,Pantser!F$1:L$49,ROW(E9),TRUE)=0,"", HLOOKUP(InvoerRolluik!$I$13,Pantser!F$1:L$49,ROW(E9),TRUE)),"")</f>
        <v/>
      </c>
      <c r="F9" s="75" t="s">
        <v>81</v>
      </c>
      <c r="G9" s="16" t="s">
        <v>81</v>
      </c>
      <c r="H9" s="16" t="s">
        <v>81</v>
      </c>
      <c r="I9" s="16" t="s">
        <v>81</v>
      </c>
      <c r="J9" s="16" t="s">
        <v>85</v>
      </c>
      <c r="K9" s="16" t="s">
        <v>81</v>
      </c>
      <c r="L9" s="76" t="s">
        <v>81</v>
      </c>
    </row>
    <row r="10" spans="1:12" x14ac:dyDescent="0.25">
      <c r="A10" t="str">
        <f>_xlfn.IFNA(IF(HLOOKUP(InvoerRolluik!$E$13,Pantser!F$1:L$49,ROW(A10),TRUE)=0,"", HLOOKUP(InvoerRolluik!$E$13,Pantser!F$1:L$49,ROW(A10),TRUE)),"")</f>
        <v/>
      </c>
      <c r="B10" t="str">
        <f>_xlfn.IFNA(IF(HLOOKUP(InvoerRolluik!$F$13,Pantser!F$1:L$49,ROW(B10),TRUE)=0,"", HLOOKUP(InvoerRolluik!$F$13,Pantser!F$1:L$49,ROW(B10),TRUE)),"")</f>
        <v/>
      </c>
      <c r="C10" t="str">
        <f>_xlfn.IFNA(IF(HLOOKUP(InvoerRolluik!$G$13,Pantser!F$1:L$49,ROW(C10),TRUE)=0,"", HLOOKUP(InvoerRolluik!$G$13,Pantser!F$1:L$49,ROW(C10),TRUE)),"")</f>
        <v/>
      </c>
      <c r="D10" t="str">
        <f>_xlfn.IFNA(IF(HLOOKUP(InvoerRolluik!$H$13,Pantser!F$1:L$49,ROW(D10),TRUE)=0,"", HLOOKUP(InvoerRolluik!$H$13,Pantser!F$1:L$49,ROW(D10),TRUE)),"")</f>
        <v/>
      </c>
      <c r="E10" t="str">
        <f>_xlfn.IFNA(IF(HLOOKUP(InvoerRolluik!$I$13,Pantser!F$1:L$49,ROW(E10),TRUE)=0,"", HLOOKUP(InvoerRolluik!$I$13,Pantser!F$1:L$49,ROW(E10),TRUE)),"")</f>
        <v/>
      </c>
      <c r="F10" s="75" t="s">
        <v>82</v>
      </c>
      <c r="G10" s="16" t="s">
        <v>82</v>
      </c>
      <c r="H10" s="16" t="s">
        <v>82</v>
      </c>
      <c r="I10" s="16" t="s">
        <v>90</v>
      </c>
      <c r="J10" s="16" t="s">
        <v>87</v>
      </c>
      <c r="K10" s="16" t="s">
        <v>82</v>
      </c>
      <c r="L10" s="76" t="s">
        <v>82</v>
      </c>
    </row>
    <row r="11" spans="1:12" x14ac:dyDescent="0.25">
      <c r="A11" t="str">
        <f>_xlfn.IFNA(IF(HLOOKUP(InvoerRolluik!$E$13,Pantser!F$1:L$49,ROW(A11),TRUE)=0,"", HLOOKUP(InvoerRolluik!$E$13,Pantser!F$1:L$49,ROW(A11),TRUE)),"")</f>
        <v/>
      </c>
      <c r="B11" t="str">
        <f>_xlfn.IFNA(IF(HLOOKUP(InvoerRolluik!$F$13,Pantser!F$1:L$49,ROW(B11),TRUE)=0,"", HLOOKUP(InvoerRolluik!$F$13,Pantser!F$1:L$49,ROW(B11),TRUE)),"")</f>
        <v/>
      </c>
      <c r="C11" t="str">
        <f>_xlfn.IFNA(IF(HLOOKUP(InvoerRolluik!$G$13,Pantser!F$1:L$49,ROW(C11),TRUE)=0,"", HLOOKUP(InvoerRolluik!$G$13,Pantser!F$1:L$49,ROW(C11),TRUE)),"")</f>
        <v/>
      </c>
      <c r="D11" t="str">
        <f>_xlfn.IFNA(IF(HLOOKUP(InvoerRolluik!$H$13,Pantser!F$1:L$49,ROW(D11),TRUE)=0,"", HLOOKUP(InvoerRolluik!$H$13,Pantser!F$1:L$49,ROW(D11),TRUE)),"")</f>
        <v/>
      </c>
      <c r="E11" t="str">
        <f>_xlfn.IFNA(IF(HLOOKUP(InvoerRolluik!$I$13,Pantser!F$1:L$49,ROW(E11),TRUE)=0,"", HLOOKUP(InvoerRolluik!$I$13,Pantser!F$1:L$49,ROW(E11),TRUE)),"")</f>
        <v/>
      </c>
      <c r="F11" s="75" t="s">
        <v>83</v>
      </c>
      <c r="G11" s="16" t="s">
        <v>83</v>
      </c>
      <c r="H11" s="16" t="s">
        <v>83</v>
      </c>
      <c r="I11" s="16" t="s">
        <v>83</v>
      </c>
      <c r="J11" s="16" t="s">
        <v>81</v>
      </c>
      <c r="K11" s="16" t="s">
        <v>83</v>
      </c>
      <c r="L11" s="76" t="s">
        <v>83</v>
      </c>
    </row>
    <row r="12" spans="1:12" x14ac:dyDescent="0.25">
      <c r="A12" t="str">
        <f>_xlfn.IFNA(IF(HLOOKUP(InvoerRolluik!$E$13,Pantser!F$1:L$49,ROW(A12),TRUE)=0,"", HLOOKUP(InvoerRolluik!$E$13,Pantser!F$1:L$49,ROW(A12),TRUE)),"")</f>
        <v/>
      </c>
      <c r="B12" t="str">
        <f>_xlfn.IFNA(IF(HLOOKUP(InvoerRolluik!$F$13,Pantser!F$1:L$49,ROW(B12),TRUE)=0,"", HLOOKUP(InvoerRolluik!$F$13,Pantser!F$1:L$49,ROW(B12),TRUE)),"")</f>
        <v/>
      </c>
      <c r="C12" t="str">
        <f>_xlfn.IFNA(IF(HLOOKUP(InvoerRolluik!$G$13,Pantser!F$1:L$49,ROW(C12),TRUE)=0,"", HLOOKUP(InvoerRolluik!$G$13,Pantser!F$1:L$49,ROW(C12),TRUE)),"")</f>
        <v/>
      </c>
      <c r="D12" t="str">
        <f>_xlfn.IFNA(IF(HLOOKUP(InvoerRolluik!$H$13,Pantser!F$1:L$49,ROW(D12),TRUE)=0,"", HLOOKUP(InvoerRolluik!$H$13,Pantser!F$1:L$49,ROW(D12),TRUE)),"")</f>
        <v/>
      </c>
      <c r="E12" t="str">
        <f>_xlfn.IFNA(IF(HLOOKUP(InvoerRolluik!$I$13,Pantser!F$1:L$49,ROW(E12),TRUE)=0,"", HLOOKUP(InvoerRolluik!$I$13,Pantser!F$1:L$49,ROW(E12),TRUE)),"")</f>
        <v/>
      </c>
      <c r="F12" s="75" t="s">
        <v>84</v>
      </c>
      <c r="G12" s="16" t="s">
        <v>84</v>
      </c>
      <c r="H12" s="16" t="s">
        <v>84</v>
      </c>
      <c r="I12" s="16"/>
      <c r="J12" s="16" t="s">
        <v>88</v>
      </c>
      <c r="K12" s="16" t="s">
        <v>84</v>
      </c>
      <c r="L12" s="76" t="s">
        <v>84</v>
      </c>
    </row>
    <row r="13" spans="1:12" x14ac:dyDescent="0.25">
      <c r="A13" t="str">
        <f>_xlfn.IFNA(IF(HLOOKUP(InvoerRolluik!$E$13,Pantser!F$1:L$49,ROW(A13),TRUE)=0,"", HLOOKUP(InvoerRolluik!$E$13,Pantser!F$1:L$49,ROW(A13),TRUE)),"")</f>
        <v/>
      </c>
      <c r="B13" t="str">
        <f>_xlfn.IFNA(IF(HLOOKUP(InvoerRolluik!$F$13,Pantser!F$1:L$49,ROW(B13),TRUE)=0,"", HLOOKUP(InvoerRolluik!$F$13,Pantser!F$1:L$49,ROW(B13),TRUE)),"")</f>
        <v/>
      </c>
      <c r="C13" t="str">
        <f>_xlfn.IFNA(IF(HLOOKUP(InvoerRolluik!$G$13,Pantser!F$1:L$49,ROW(C13),TRUE)=0,"", HLOOKUP(InvoerRolluik!$G$13,Pantser!F$1:L$49,ROW(C13),TRUE)),"")</f>
        <v/>
      </c>
      <c r="D13" t="str">
        <f>_xlfn.IFNA(IF(HLOOKUP(InvoerRolluik!$H$13,Pantser!F$1:L$49,ROW(D13),TRUE)=0,"", HLOOKUP(InvoerRolluik!$H$13,Pantser!F$1:L$49,ROW(D13),TRUE)),"")</f>
        <v/>
      </c>
      <c r="E13" t="str">
        <f>_xlfn.IFNA(IF(HLOOKUP(InvoerRolluik!$I$13,Pantser!F$1:L$49,ROW(E13),TRUE)=0,"", HLOOKUP(InvoerRolluik!$I$13,Pantser!F$1:L$49,ROW(E13),TRUE)),"")</f>
        <v/>
      </c>
      <c r="F13" s="75" t="s">
        <v>86</v>
      </c>
      <c r="G13" s="16" t="s">
        <v>86</v>
      </c>
      <c r="H13" s="16" t="s">
        <v>85</v>
      </c>
      <c r="I13" s="16"/>
      <c r="J13" s="16" t="s">
        <v>90</v>
      </c>
      <c r="K13" s="16" t="s">
        <v>86</v>
      </c>
      <c r="L13" s="76" t="s">
        <v>86</v>
      </c>
    </row>
    <row r="14" spans="1:12" x14ac:dyDescent="0.25">
      <c r="A14" t="str">
        <f>_xlfn.IFNA(IF(HLOOKUP(InvoerRolluik!$E$13,Pantser!F$1:L$49,ROW(A14),TRUE)=0,"", HLOOKUP(InvoerRolluik!$E$13,Pantser!F$1:L$49,ROW(A14),TRUE)),"")</f>
        <v/>
      </c>
      <c r="B14" t="str">
        <f>_xlfn.IFNA(IF(HLOOKUP(InvoerRolluik!$F$13,Pantser!F$1:L$49,ROW(B14),TRUE)=0,"", HLOOKUP(InvoerRolluik!$F$13,Pantser!F$1:L$49,ROW(B14),TRUE)),"")</f>
        <v/>
      </c>
      <c r="C14" t="str">
        <f>_xlfn.IFNA(IF(HLOOKUP(InvoerRolluik!$G$13,Pantser!F$1:L$49,ROW(C14),TRUE)=0,"", HLOOKUP(InvoerRolluik!$G$13,Pantser!F$1:L$49,ROW(C14),TRUE)),"")</f>
        <v/>
      </c>
      <c r="D14" t="str">
        <f>_xlfn.IFNA(IF(HLOOKUP(InvoerRolluik!$H$13,Pantser!F$1:L$49,ROW(D14),TRUE)=0,"", HLOOKUP(InvoerRolluik!$H$13,Pantser!F$1:L$49,ROW(D14),TRUE)),"")</f>
        <v/>
      </c>
      <c r="E14" t="str">
        <f>_xlfn.IFNA(IF(HLOOKUP(InvoerRolluik!$I$13,Pantser!F$1:L$49,ROW(E14),TRUE)=0,"", HLOOKUP(InvoerRolluik!$I$13,Pantser!F$1:L$49,ROW(E14),TRUE)),"")</f>
        <v/>
      </c>
      <c r="F14" s="75" t="s">
        <v>87</v>
      </c>
      <c r="G14" s="16" t="s">
        <v>87</v>
      </c>
      <c r="H14" s="16" t="s">
        <v>94</v>
      </c>
      <c r="I14" s="16"/>
      <c r="J14" s="16" t="s">
        <v>83</v>
      </c>
      <c r="K14" s="16" t="s">
        <v>87</v>
      </c>
      <c r="L14" s="76" t="s">
        <v>87</v>
      </c>
    </row>
    <row r="15" spans="1:12" x14ac:dyDescent="0.25">
      <c r="A15" t="str">
        <f>_xlfn.IFNA(IF(HLOOKUP(InvoerRolluik!$E$13,Pantser!F$1:L$49,ROW(A15),TRUE)=0,"", HLOOKUP(InvoerRolluik!$E$13,Pantser!F$1:L$49,ROW(A15),TRUE)),"")</f>
        <v/>
      </c>
      <c r="B15" t="str">
        <f>_xlfn.IFNA(IF(HLOOKUP(InvoerRolluik!$F$13,Pantser!F$1:L$49,ROW(B15),TRUE)=0,"", HLOOKUP(InvoerRolluik!$F$13,Pantser!F$1:L$49,ROW(B15),TRUE)),"")</f>
        <v/>
      </c>
      <c r="C15" t="str">
        <f>_xlfn.IFNA(IF(HLOOKUP(InvoerRolluik!$G$13,Pantser!F$1:L$49,ROW(C15),TRUE)=0,"", HLOOKUP(InvoerRolluik!$G$13,Pantser!F$1:L$49,ROW(C15),TRUE)),"")</f>
        <v/>
      </c>
      <c r="D15" t="str">
        <f>_xlfn.IFNA(IF(HLOOKUP(InvoerRolluik!$H$13,Pantser!F$1:L$49,ROW(D15),TRUE)=0,"", HLOOKUP(InvoerRolluik!$H$13,Pantser!F$1:L$49,ROW(D15),TRUE)),"")</f>
        <v/>
      </c>
      <c r="E15" t="str">
        <f>_xlfn.IFNA(IF(HLOOKUP(InvoerRolluik!$I$13,Pantser!F$1:L$49,ROW(E15),TRUE)=0,"", HLOOKUP(InvoerRolluik!$I$13,Pantser!F$1:L$49,ROW(E15),TRUE)),"")</f>
        <v/>
      </c>
      <c r="F15" s="75" t="s">
        <v>124</v>
      </c>
      <c r="G15" s="16" t="s">
        <v>124</v>
      </c>
      <c r="H15" s="16" t="s">
        <v>86</v>
      </c>
      <c r="I15" s="16"/>
      <c r="J15" s="16"/>
      <c r="K15" s="16" t="s">
        <v>124</v>
      </c>
      <c r="L15" s="76" t="s">
        <v>124</v>
      </c>
    </row>
    <row r="16" spans="1:12" x14ac:dyDescent="0.25">
      <c r="A16" t="str">
        <f>_xlfn.IFNA(IF(HLOOKUP(InvoerRolluik!$E$13,Pantser!F$1:L$49,ROW(A16),TRUE)=0,"", HLOOKUP(InvoerRolluik!$E$13,Pantser!F$1:L$49,ROW(A16),TRUE)),"")</f>
        <v/>
      </c>
      <c r="B16" t="str">
        <f>_xlfn.IFNA(IF(HLOOKUP(InvoerRolluik!$F$13,Pantser!F$1:L$49,ROW(B16),TRUE)=0,"", HLOOKUP(InvoerRolluik!$F$13,Pantser!F$1:L$49,ROW(B16),TRUE)),"")</f>
        <v/>
      </c>
      <c r="C16" t="str">
        <f>_xlfn.IFNA(IF(HLOOKUP(InvoerRolluik!$G$13,Pantser!F$1:L$49,ROW(C16),TRUE)=0,"", HLOOKUP(InvoerRolluik!$G$13,Pantser!F$1:L$49,ROW(C16),TRUE)),"")</f>
        <v/>
      </c>
      <c r="D16" t="str">
        <f>_xlfn.IFNA(IF(HLOOKUP(InvoerRolluik!$H$13,Pantser!F$1:L$49,ROW(D16),TRUE)=0,"", HLOOKUP(InvoerRolluik!$H$13,Pantser!F$1:L$49,ROW(D16),TRUE)),"")</f>
        <v/>
      </c>
      <c r="E16" t="str">
        <f>_xlfn.IFNA(IF(HLOOKUP(InvoerRolluik!$I$13,Pantser!F$1:L$49,ROW(E16),TRUE)=0,"", HLOOKUP(InvoerRolluik!$I$13,Pantser!F$1:L$49,ROW(E16),TRUE)),"")</f>
        <v/>
      </c>
      <c r="F16" s="75" t="s">
        <v>89</v>
      </c>
      <c r="G16" s="16" t="s">
        <v>92</v>
      </c>
      <c r="H16" s="16" t="s">
        <v>90</v>
      </c>
      <c r="I16" s="16"/>
      <c r="J16" s="16"/>
      <c r="K16" s="16" t="s">
        <v>89</v>
      </c>
      <c r="L16" s="76" t="s">
        <v>92</v>
      </c>
    </row>
    <row r="17" spans="1:12" x14ac:dyDescent="0.25">
      <c r="A17" t="str">
        <f>_xlfn.IFNA(IF(HLOOKUP(InvoerRolluik!$E$13,Pantser!F$1:L$49,ROW(A17),TRUE)=0,"", HLOOKUP(InvoerRolluik!$E$13,Pantser!F$1:L$49,ROW(A17),TRUE)),"")</f>
        <v/>
      </c>
      <c r="B17" t="str">
        <f>_xlfn.IFNA(IF(HLOOKUP(InvoerRolluik!$F$13,Pantser!F$1:L$49,ROW(B17),TRUE)=0,"", HLOOKUP(InvoerRolluik!$F$13,Pantser!F$1:L$49,ROW(B17),TRUE)),"")</f>
        <v/>
      </c>
      <c r="C17" t="str">
        <f>_xlfn.IFNA(IF(HLOOKUP(InvoerRolluik!$G$13,Pantser!F$1:L$49,ROW(C17),TRUE)=0,"", HLOOKUP(InvoerRolluik!$G$13,Pantser!F$1:L$49,ROW(C17),TRUE)),"")</f>
        <v/>
      </c>
      <c r="D17" t="str">
        <f>_xlfn.IFNA(IF(HLOOKUP(InvoerRolluik!$H$13,Pantser!F$1:L$49,ROW(D17),TRUE)=0,"", HLOOKUP(InvoerRolluik!$H$13,Pantser!F$1:L$49,ROW(D17),TRUE)),"")</f>
        <v/>
      </c>
      <c r="E17" t="str">
        <f>_xlfn.IFNA(IF(HLOOKUP(InvoerRolluik!$I$13,Pantser!F$1:L$49,ROW(E17),TRUE)=0,"", HLOOKUP(InvoerRolluik!$I$13,Pantser!F$1:L$49,ROW(E17),TRUE)),"")</f>
        <v/>
      </c>
      <c r="F17" s="75" t="s">
        <v>90</v>
      </c>
      <c r="G17" s="16" t="s">
        <v>93</v>
      </c>
      <c r="H17" s="16" t="s">
        <v>121</v>
      </c>
      <c r="I17" s="16"/>
      <c r="J17" s="16"/>
      <c r="K17" s="16" t="s">
        <v>90</v>
      </c>
      <c r="L17" s="76" t="s">
        <v>93</v>
      </c>
    </row>
    <row r="18" spans="1:12" x14ac:dyDescent="0.25">
      <c r="A18" t="str">
        <f>_xlfn.IFNA(IF(HLOOKUP(InvoerRolluik!$E$13,Pantser!F$1:L$49,ROW(A18),TRUE)=0,"", HLOOKUP(InvoerRolluik!$E$13,Pantser!F$1:L$49,ROW(A18),TRUE)),"")</f>
        <v/>
      </c>
      <c r="B18" t="str">
        <f>_xlfn.IFNA(IF(HLOOKUP(InvoerRolluik!$F$13,Pantser!F$1:L$49,ROW(B18),TRUE)=0,"", HLOOKUP(InvoerRolluik!$F$13,Pantser!F$1:L$49,ROW(B18),TRUE)),"")</f>
        <v/>
      </c>
      <c r="C18" t="str">
        <f>_xlfn.IFNA(IF(HLOOKUP(InvoerRolluik!$G$13,Pantser!F$1:L$49,ROW(C18),TRUE)=0,"", HLOOKUP(InvoerRolluik!$G$13,Pantser!F$1:L$49,ROW(C18),TRUE)),"")</f>
        <v/>
      </c>
      <c r="D18" t="str">
        <f>_xlfn.IFNA(IF(HLOOKUP(InvoerRolluik!$H$13,Pantser!F$1:L$49,ROW(D18),TRUE)=0,"", HLOOKUP(InvoerRolluik!$H$13,Pantser!F$1:L$49,ROW(D18),TRUE)),"")</f>
        <v/>
      </c>
      <c r="E18" t="str">
        <f>_xlfn.IFNA(IF(HLOOKUP(InvoerRolluik!$I$13,Pantser!F$1:L$49,ROW(E18),TRUE)=0,"", HLOOKUP(InvoerRolluik!$I$13,Pantser!F$1:L$49,ROW(E18),TRUE)),"")</f>
        <v/>
      </c>
      <c r="F18" s="75" t="s">
        <v>91</v>
      </c>
      <c r="G18" s="16" t="s">
        <v>121</v>
      </c>
      <c r="H18" s="16"/>
      <c r="I18" s="16"/>
      <c r="J18" s="16"/>
      <c r="K18" s="16" t="s">
        <v>91</v>
      </c>
      <c r="L18" s="76" t="s">
        <v>121</v>
      </c>
    </row>
    <row r="19" spans="1:12" x14ac:dyDescent="0.25">
      <c r="A19" t="str">
        <f>_xlfn.IFNA(IF(HLOOKUP(InvoerRolluik!$E$13,Pantser!F$1:L$49,ROW(A19),TRUE)=0,"", HLOOKUP(InvoerRolluik!$E$13,Pantser!F$1:L$49,ROW(A19),TRUE)),"")</f>
        <v/>
      </c>
      <c r="B19" t="str">
        <f>_xlfn.IFNA(IF(HLOOKUP(InvoerRolluik!$F$13,Pantser!F$1:L$49,ROW(B19),TRUE)=0,"", HLOOKUP(InvoerRolluik!$F$13,Pantser!F$1:L$49,ROW(B19),TRUE)),"")</f>
        <v/>
      </c>
      <c r="C19" t="str">
        <f>_xlfn.IFNA(IF(HLOOKUP(InvoerRolluik!$G$13,Pantser!F$1:L$49,ROW(C19),TRUE)=0,"", HLOOKUP(InvoerRolluik!$G$13,Pantser!F$1:L$49,ROW(C19),TRUE)),"")</f>
        <v/>
      </c>
      <c r="D19" t="str">
        <f>_xlfn.IFNA(IF(HLOOKUP(InvoerRolluik!$H$13,Pantser!F$1:L$49,ROW(D19),TRUE)=0,"", HLOOKUP(InvoerRolluik!$H$13,Pantser!F$1:L$49,ROW(D19),TRUE)),"")</f>
        <v/>
      </c>
      <c r="E19" t="str">
        <f>_xlfn.IFNA(IF(HLOOKUP(InvoerRolluik!$I$13,Pantser!F$1:L$49,ROW(E19),TRUE)=0,"", HLOOKUP(InvoerRolluik!$I$13,Pantser!F$1:L$49,ROW(E19),TRUE)),"")</f>
        <v/>
      </c>
      <c r="F19" s="75" t="s">
        <v>92</v>
      </c>
      <c r="G19" s="16"/>
      <c r="H19" s="16"/>
      <c r="I19" s="16"/>
      <c r="J19" s="16"/>
      <c r="K19" s="16" t="s">
        <v>92</v>
      </c>
      <c r="L19" s="76"/>
    </row>
    <row r="20" spans="1:12" x14ac:dyDescent="0.25">
      <c r="A20" t="str">
        <f>_xlfn.IFNA(IF(HLOOKUP(InvoerRolluik!$E$13,Pantser!F$1:L$49,ROW(A20),TRUE)=0,"", HLOOKUP(InvoerRolluik!$E$13,Pantser!F$1:L$49,ROW(A20),TRUE)),"")</f>
        <v/>
      </c>
      <c r="B20" t="str">
        <f>_xlfn.IFNA(IF(HLOOKUP(InvoerRolluik!$F$13,Pantser!F$1:L$49,ROW(B20),TRUE)=0,"", HLOOKUP(InvoerRolluik!$F$13,Pantser!F$1:L$49,ROW(B20),TRUE)),"")</f>
        <v/>
      </c>
      <c r="C20" t="str">
        <f>_xlfn.IFNA(IF(HLOOKUP(InvoerRolluik!$G$13,Pantser!F$1:L$49,ROW(C20),TRUE)=0,"", HLOOKUP(InvoerRolluik!$G$13,Pantser!F$1:L$49,ROW(C20),TRUE)),"")</f>
        <v/>
      </c>
      <c r="D20" t="str">
        <f>_xlfn.IFNA(IF(HLOOKUP(InvoerRolluik!$H$13,Pantser!F$1:L$49,ROW(D20),TRUE)=0,"", HLOOKUP(InvoerRolluik!$H$13,Pantser!F$1:L$49,ROW(D20),TRUE)),"")</f>
        <v/>
      </c>
      <c r="E20" t="str">
        <f>_xlfn.IFNA(IF(HLOOKUP(InvoerRolluik!$I$13,Pantser!F$1:L$49,ROW(E20),TRUE)=0,"", HLOOKUP(InvoerRolluik!$I$13,Pantser!F$1:L$49,ROW(E20),TRUE)),"")</f>
        <v/>
      </c>
      <c r="F20" s="75" t="s">
        <v>93</v>
      </c>
      <c r="G20" s="16"/>
      <c r="H20" s="16"/>
      <c r="I20" s="16"/>
      <c r="J20" s="16"/>
      <c r="K20" s="16" t="s">
        <v>93</v>
      </c>
      <c r="L20" s="76"/>
    </row>
    <row r="21" spans="1:12" x14ac:dyDescent="0.25">
      <c r="A21" t="str">
        <f>_xlfn.IFNA(IF(HLOOKUP(InvoerRolluik!$E$13,Pantser!F$1:L$49,ROW(A21),TRUE)=0,"", HLOOKUP(InvoerRolluik!$E$13,Pantser!F$1:L$49,ROW(A21),TRUE)),"")</f>
        <v/>
      </c>
      <c r="B21" t="str">
        <f>_xlfn.IFNA(IF(HLOOKUP(InvoerRolluik!$F$13,Pantser!F$1:L$49,ROW(B21),TRUE)=0,"", HLOOKUP(InvoerRolluik!$F$13,Pantser!F$1:L$49,ROW(B21),TRUE)),"")</f>
        <v/>
      </c>
      <c r="C21" t="str">
        <f>_xlfn.IFNA(IF(HLOOKUP(InvoerRolluik!$G$13,Pantser!F$1:L$49,ROW(C21),TRUE)=0,"", HLOOKUP(InvoerRolluik!$G$13,Pantser!F$1:L$49,ROW(C21),TRUE)),"")</f>
        <v/>
      </c>
      <c r="D21" t="str">
        <f>_xlfn.IFNA(IF(HLOOKUP(InvoerRolluik!$H$13,Pantser!F$1:L$49,ROW(D21),TRUE)=0,"", HLOOKUP(InvoerRolluik!$H$13,Pantser!F$1:L$49,ROW(D21),TRUE)),"")</f>
        <v/>
      </c>
      <c r="E21" t="str">
        <f>_xlfn.IFNA(IF(HLOOKUP(InvoerRolluik!$I$13,Pantser!F$1:L$49,ROW(E21),TRUE)=0,"", HLOOKUP(InvoerRolluik!$I$13,Pantser!F$1:L$49,ROW(E21),TRUE)),"")</f>
        <v/>
      </c>
      <c r="F21" s="75" t="s">
        <v>121</v>
      </c>
      <c r="G21" s="16"/>
      <c r="H21" s="16"/>
      <c r="I21" s="16"/>
      <c r="J21" s="16"/>
      <c r="K21" s="16" t="s">
        <v>121</v>
      </c>
      <c r="L21" s="76"/>
    </row>
    <row r="22" spans="1:12" x14ac:dyDescent="0.25">
      <c r="A22" t="str">
        <f>_xlfn.IFNA(IF(HLOOKUP(InvoerRolluik!$E$13,Pantser!F$1:L$49,ROW(A22),TRUE)=0,"", HLOOKUP(InvoerRolluik!$E$13,Pantser!F$1:L$49,ROW(A22),TRUE)),"")</f>
        <v/>
      </c>
      <c r="B22" t="str">
        <f>_xlfn.IFNA(IF(HLOOKUP(InvoerRolluik!$F$13,Pantser!F$1:L$49,ROW(B22),TRUE)=0,"", HLOOKUP(InvoerRolluik!$F$13,Pantser!F$1:L$49,ROW(B22),TRUE)),"")</f>
        <v/>
      </c>
      <c r="C22" t="str">
        <f>_xlfn.IFNA(IF(HLOOKUP(InvoerRolluik!$G$13,Pantser!F$1:L$49,ROW(C22),TRUE)=0,"", HLOOKUP(InvoerRolluik!$G$13,Pantser!F$1:L$49,ROW(C22),TRUE)),"")</f>
        <v/>
      </c>
      <c r="D22" t="str">
        <f>_xlfn.IFNA(IF(HLOOKUP(InvoerRolluik!$H$13,Pantser!F$1:L$49,ROW(D22),TRUE)=0,"", HLOOKUP(InvoerRolluik!$H$13,Pantser!F$1:L$49,ROW(D22),TRUE)),"")</f>
        <v/>
      </c>
      <c r="E22" t="str">
        <f>_xlfn.IFNA(IF(HLOOKUP(InvoerRolluik!$I$13,Pantser!F$1:L$49,ROW(E22),TRUE)=0,"", HLOOKUP(InvoerRolluik!$I$13,Pantser!F$1:L$49,ROW(E22),TRUE)),"")</f>
        <v/>
      </c>
      <c r="F22" s="75"/>
      <c r="G22" s="16"/>
      <c r="H22" s="16"/>
      <c r="I22" s="16"/>
      <c r="J22" s="16"/>
      <c r="K22" s="16"/>
      <c r="L22" s="76"/>
    </row>
    <row r="23" spans="1:12" x14ac:dyDescent="0.25">
      <c r="A23" t="str">
        <f>_xlfn.IFNA(IF(HLOOKUP(InvoerRolluik!$E$13,Pantser!F$1:L$49,ROW(A23),TRUE)=0,"", HLOOKUP(InvoerRolluik!$E$13,Pantser!F$1:L$49,ROW(A23),TRUE)),"")</f>
        <v/>
      </c>
      <c r="B23" t="str">
        <f>_xlfn.IFNA(IF(HLOOKUP(InvoerRolluik!$F$13,Pantser!F$1:L$49,ROW(B23),TRUE)=0,"", HLOOKUP(InvoerRolluik!$F$13,Pantser!F$1:L$49,ROW(B23),TRUE)),"")</f>
        <v/>
      </c>
      <c r="C23" t="str">
        <f>_xlfn.IFNA(IF(HLOOKUP(InvoerRolluik!$G$13,Pantser!F$1:L$49,ROW(C23),TRUE)=0,"", HLOOKUP(InvoerRolluik!$G$13,Pantser!F$1:L$49,ROW(C23),TRUE)),"")</f>
        <v/>
      </c>
      <c r="D23" t="str">
        <f>_xlfn.IFNA(IF(HLOOKUP(InvoerRolluik!$H$13,Pantser!F$1:L$49,ROW(D23),TRUE)=0,"", HLOOKUP(InvoerRolluik!$H$13,Pantser!F$1:L$49,ROW(D23),TRUE)),"")</f>
        <v/>
      </c>
      <c r="E23" t="str">
        <f>_xlfn.IFNA(IF(HLOOKUP(InvoerRolluik!$I$13,Pantser!F$1:L$49,ROW(E23),TRUE)=0,"", HLOOKUP(InvoerRolluik!$I$13,Pantser!F$1:L$49,ROW(E23),TRUE)),"")</f>
        <v/>
      </c>
      <c r="F23" s="75"/>
      <c r="G23" s="16"/>
      <c r="H23" s="16"/>
      <c r="I23" s="16"/>
      <c r="J23" s="16"/>
      <c r="K23" s="16"/>
      <c r="L23" s="76"/>
    </row>
    <row r="24" spans="1:12" x14ac:dyDescent="0.25">
      <c r="A24" t="str">
        <f>_xlfn.IFNA(IF(HLOOKUP(InvoerRolluik!$E$13,Pantser!F$1:L$49,ROW(A24),TRUE)=0,"", HLOOKUP(InvoerRolluik!$E$13,Pantser!F$1:L$49,ROW(A24),TRUE)),"")</f>
        <v/>
      </c>
      <c r="B24" t="str">
        <f>_xlfn.IFNA(IF(HLOOKUP(InvoerRolluik!$F$13,Pantser!F$1:L$49,ROW(B24),TRUE)=0,"", HLOOKUP(InvoerRolluik!$F$13,Pantser!F$1:L$49,ROW(B24),TRUE)),"")</f>
        <v/>
      </c>
      <c r="C24" t="str">
        <f>_xlfn.IFNA(IF(HLOOKUP(InvoerRolluik!$G$13,Pantser!F$1:L$49,ROW(C24),TRUE)=0,"", HLOOKUP(InvoerRolluik!$G$13,Pantser!F$1:L$49,ROW(C24),TRUE)),"")</f>
        <v/>
      </c>
      <c r="D24" t="str">
        <f>_xlfn.IFNA(IF(HLOOKUP(InvoerRolluik!$H$13,Pantser!F$1:L$49,ROW(D24),TRUE)=0,"", HLOOKUP(InvoerRolluik!$H$13,Pantser!F$1:L$49,ROW(D24),TRUE)),"")</f>
        <v/>
      </c>
      <c r="E24" t="str">
        <f>_xlfn.IFNA(IF(HLOOKUP(InvoerRolluik!$I$13,Pantser!F$1:L$49,ROW(E24),TRUE)=0,"", HLOOKUP(InvoerRolluik!$I$13,Pantser!F$1:L$49,ROW(E24),TRUE)),"")</f>
        <v/>
      </c>
      <c r="F24" s="75"/>
      <c r="G24" s="16"/>
      <c r="H24" s="16"/>
      <c r="I24" s="16"/>
      <c r="J24" s="16"/>
      <c r="K24" s="16"/>
      <c r="L24" s="76"/>
    </row>
    <row r="25" spans="1:12" x14ac:dyDescent="0.25">
      <c r="A25" t="str">
        <f>_xlfn.IFNA(IF(HLOOKUP(InvoerRolluik!$E$13,Pantser!F$1:L$49,ROW(A25),TRUE)=0,"", HLOOKUP(InvoerRolluik!$E$13,Pantser!F$1:L$49,ROW(A25),TRUE)),"")</f>
        <v/>
      </c>
      <c r="B25" t="str">
        <f>_xlfn.IFNA(IF(HLOOKUP(InvoerRolluik!$F$13,Pantser!F$1:L$49,ROW(B25),TRUE)=0,"", HLOOKUP(InvoerRolluik!$F$13,Pantser!F$1:L$49,ROW(B25),TRUE)),"")</f>
        <v/>
      </c>
      <c r="C25" t="str">
        <f>_xlfn.IFNA(IF(HLOOKUP(InvoerRolluik!$G$13,Pantser!F$1:L$49,ROW(C25),TRUE)=0,"", HLOOKUP(InvoerRolluik!$G$13,Pantser!F$1:L$49,ROW(C25),TRUE)),"")</f>
        <v/>
      </c>
      <c r="D25" t="str">
        <f>_xlfn.IFNA(IF(HLOOKUP(InvoerRolluik!$H$13,Pantser!F$1:L$49,ROW(D25),TRUE)=0,"", HLOOKUP(InvoerRolluik!$H$13,Pantser!F$1:L$49,ROW(D25),TRUE)),"")</f>
        <v/>
      </c>
      <c r="E25" t="str">
        <f>_xlfn.IFNA(IF(HLOOKUP(InvoerRolluik!$I$13,Pantser!F$1:L$49,ROW(E25),TRUE)=0,"", HLOOKUP(InvoerRolluik!$I$13,Pantser!F$1:L$49,ROW(E25),TRUE)),"")</f>
        <v/>
      </c>
      <c r="F25" s="75"/>
      <c r="G25" s="16"/>
      <c r="H25" s="16"/>
      <c r="I25" s="16"/>
      <c r="J25" s="16"/>
      <c r="K25" s="16"/>
      <c r="L25" s="76"/>
    </row>
    <row r="26" spans="1:12" x14ac:dyDescent="0.25">
      <c r="A26" t="str">
        <f>_xlfn.IFNA(IF(HLOOKUP(InvoerRolluik!$E$13,Pantser!F$1:L$49,ROW(A26),TRUE)=0,"", HLOOKUP(InvoerRolluik!$E$13,Pantser!F$1:L$49,ROW(A26),TRUE)),"")</f>
        <v/>
      </c>
      <c r="B26" t="str">
        <f>_xlfn.IFNA(IF(HLOOKUP(InvoerRolluik!$F$13,Pantser!F$1:L$49,ROW(B26),TRUE)=0,"", HLOOKUP(InvoerRolluik!$F$13,Pantser!F$1:L$49,ROW(B26),TRUE)),"")</f>
        <v/>
      </c>
      <c r="C26" t="str">
        <f>_xlfn.IFNA(IF(HLOOKUP(InvoerRolluik!$G$13,Pantser!F$1:L$49,ROW(C26),TRUE)=0,"", HLOOKUP(InvoerRolluik!$G$13,Pantser!F$1:L$49,ROW(C26),TRUE)),"")</f>
        <v/>
      </c>
      <c r="D26" t="s">
        <v>20</v>
      </c>
      <c r="E26" t="str">
        <f>_xlfn.IFNA(IF(HLOOKUP(InvoerRolluik!$I$13,Pantser!F$1:L$49,ROW(E26),TRUE)=0,"", HLOOKUP(InvoerRolluik!$I$13,Pantser!F$1:L$49,ROW(E26),TRUE)),"")</f>
        <v/>
      </c>
      <c r="F26" s="75"/>
      <c r="G26" s="16"/>
      <c r="H26" s="16"/>
      <c r="I26" s="16"/>
      <c r="J26" s="16"/>
      <c r="K26" s="16"/>
      <c r="L26" s="76"/>
    </row>
    <row r="27" spans="1:12" x14ac:dyDescent="0.25">
      <c r="A27" t="str">
        <f>_xlfn.IFNA(IF(HLOOKUP(InvoerRolluik!$E$13,Pantser!F$1:L$49,ROW(A27),TRUE)=0,"", HLOOKUP(InvoerRolluik!$E$13,Pantser!F$1:L$49,ROW(A27),TRUE)),"")</f>
        <v/>
      </c>
      <c r="B27" t="str">
        <f>_xlfn.IFNA(IF(HLOOKUP(InvoerRolluik!$F$13,Pantser!F$1:L$49,ROW(B27),TRUE)=0,"", HLOOKUP(InvoerRolluik!$F$13,Pantser!F$1:L$49,ROW(B27),TRUE)),"")</f>
        <v/>
      </c>
      <c r="C27" t="str">
        <f>_xlfn.IFNA(IF(HLOOKUP(InvoerRolluik!$G$13,Pantser!F$1:L$49,ROW(C27),TRUE)=0,"", HLOOKUP(InvoerRolluik!$G$13,Pantser!F$1:L$49,ROW(C27),TRUE)),"")</f>
        <v/>
      </c>
      <c r="D27" t="str">
        <f>_xlfn.IFNA(IF(HLOOKUP(InvoerRolluik!$H$13,Pantser!F$1:L$49,ROW(D27),TRUE)=0,"", HLOOKUP(InvoerRolluik!$H$13,Pantser!F$1:L$49,ROW(D27),TRUE)),"")</f>
        <v/>
      </c>
      <c r="F27" s="75"/>
      <c r="G27" s="16"/>
      <c r="H27" s="16"/>
      <c r="I27" s="16"/>
      <c r="J27" s="16"/>
      <c r="K27" s="16"/>
      <c r="L27" s="76"/>
    </row>
    <row r="28" spans="1:12" x14ac:dyDescent="0.25">
      <c r="A28" t="str">
        <f>_xlfn.IFNA(IF(HLOOKUP(InvoerRolluik!$E$13,Pantser!F$1:L$49,ROW(A28),TRUE)=0,"", HLOOKUP(InvoerRolluik!$E$13,Pantser!F$1:L$49,ROW(A28),TRUE)),"")</f>
        <v/>
      </c>
      <c r="C28" t="str">
        <f>_xlfn.IFNA(IF(HLOOKUP(InvoerRolluik!$G$13,Pantser!F$1:L$49,ROW(C28),TRUE)=0,"", HLOOKUP(InvoerRolluik!$G$13,Pantser!F$1:L$49,ROW(C28),TRUE)),"")</f>
        <v/>
      </c>
      <c r="F28" s="75"/>
      <c r="G28" s="16"/>
      <c r="H28" s="16"/>
      <c r="I28" s="16"/>
      <c r="J28" s="16"/>
      <c r="K28" s="16"/>
      <c r="L28" s="76"/>
    </row>
    <row r="29" spans="1:12" x14ac:dyDescent="0.25">
      <c r="A29" t="str">
        <f>_xlfn.IFNA(IF(HLOOKUP(InvoerRolluik!$E$13,Pantser!F$1:L$49,ROW(A29),TRUE)=0,"", HLOOKUP(InvoerRolluik!$E$13,Pantser!F$1:L$49,ROW(A29),TRUE)),"")</f>
        <v/>
      </c>
      <c r="F29" s="75"/>
      <c r="G29" s="16"/>
      <c r="H29" s="16"/>
      <c r="I29" s="16"/>
      <c r="J29" s="16"/>
      <c r="K29" s="16"/>
      <c r="L29" s="76"/>
    </row>
    <row r="30" spans="1:12" x14ac:dyDescent="0.25">
      <c r="A30" t="str">
        <f>_xlfn.IFNA(IF(HLOOKUP(InvoerRolluik!$E$13,Pantser!F$1:L$49,ROW(A30),TRUE)=0,"", HLOOKUP(InvoerRolluik!$E$13,Pantser!F$1:L$49,ROW(A30),TRUE)),"")</f>
        <v/>
      </c>
      <c r="F30" s="75"/>
      <c r="G30" s="16"/>
      <c r="H30" s="16"/>
      <c r="I30" s="16"/>
      <c r="J30" s="16"/>
      <c r="K30" s="16"/>
      <c r="L30" s="76"/>
    </row>
    <row r="31" spans="1:12" x14ac:dyDescent="0.25">
      <c r="F31" s="138" t="s">
        <v>114</v>
      </c>
      <c r="G31" s="139"/>
      <c r="H31" s="139"/>
      <c r="I31" s="139"/>
      <c r="J31" s="139"/>
      <c r="K31" s="139"/>
      <c r="L31" s="140"/>
    </row>
    <row r="32" spans="1:12" x14ac:dyDescent="0.25">
      <c r="F32" s="77"/>
      <c r="G32" s="19"/>
      <c r="H32" s="19"/>
      <c r="I32" s="19"/>
      <c r="J32" s="19"/>
      <c r="K32" s="19"/>
      <c r="L32" s="78"/>
    </row>
    <row r="36" spans="1:1" x14ac:dyDescent="0.25">
      <c r="A36" t="str">
        <f>_xlfn.IFNA(IF(HLOOKUP(InvoerRolluik!$E$13,Pantser!F$1:L$49,ROW(A36),TRUE)=0,"", HLOOKUP(InvoerRolluik!$E$13,Pantser!F$1:L$49,ROW(A36),TRUE)),"")</f>
        <v/>
      </c>
    </row>
  </sheetData>
  <mergeCells count="1">
    <mergeCell ref="F31:L3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5434B-044D-4B84-A40E-25B89BD61011}">
  <dimension ref="A1:L36"/>
  <sheetViews>
    <sheetView workbookViewId="0">
      <selection activeCell="F1" sqref="F1"/>
    </sheetView>
  </sheetViews>
  <sheetFormatPr defaultRowHeight="15" x14ac:dyDescent="0.25"/>
  <cols>
    <col min="1" max="12" width="20.7109375" customWidth="1"/>
  </cols>
  <sheetData>
    <row r="1" spans="1:12" ht="30" x14ac:dyDescent="0.25">
      <c r="A1" s="89" t="s">
        <v>104</v>
      </c>
      <c r="B1" s="89" t="s">
        <v>105</v>
      </c>
      <c r="C1" s="89" t="s">
        <v>106</v>
      </c>
      <c r="D1" s="89" t="s">
        <v>107</v>
      </c>
      <c r="E1" s="89" t="s">
        <v>108</v>
      </c>
      <c r="F1" s="90" t="str">
        <f>Bron!A3</f>
        <v>Ecoroll L
42mm lamel</v>
      </c>
      <c r="G1" s="91" t="str">
        <f>Bron!A4</f>
        <v>Ecoroll M
37mm lamel</v>
      </c>
      <c r="H1" s="91" t="str">
        <f>Bron!A9</f>
        <v>EcoRoll XL52
52mm lamel</v>
      </c>
      <c r="I1" s="91" t="str">
        <f>Bron!A10</f>
        <v>EcoRoll XL55
55mm lamel</v>
      </c>
      <c r="J1" s="91" t="str">
        <f>Bron!A11</f>
        <v>EcoRoll XXL77
77mm lamel</v>
      </c>
      <c r="K1" s="91" t="str">
        <f>Bron!A6</f>
        <v>Rollex L 
42mm lamel</v>
      </c>
      <c r="L1" s="92" t="str">
        <f>Bron!A7</f>
        <v>Rollex M
37mm lamel</v>
      </c>
    </row>
    <row r="2" spans="1:12" x14ac:dyDescent="0.25">
      <c r="A2" s="36"/>
      <c r="B2" s="36"/>
      <c r="C2" s="36"/>
      <c r="D2" s="36"/>
      <c r="E2" s="36"/>
      <c r="F2" s="72"/>
      <c r="G2" s="73"/>
      <c r="H2" s="73"/>
      <c r="I2" s="73"/>
      <c r="J2" s="73"/>
      <c r="K2" s="73"/>
      <c r="L2" s="74"/>
    </row>
    <row r="3" spans="1:12" x14ac:dyDescent="0.25">
      <c r="A3" t="str">
        <f>_xlfn.IFNA(IF(HLOOKUP(InvoerRolluik!$E$13,kastvorm!F$1:L$49,ROW(A3),TRUE)=0,"", HLOOKUP(InvoerRolluik!$E$13,kastvorm!F$1:L$49,ROW(A3),TRUE)),"")</f>
        <v/>
      </c>
      <c r="B3" t="str">
        <f>_xlfn.IFNA(IF(HLOOKUP(InvoerRolluik!$F$13,kastvorm!F$1:M$49,ROW(B3),TRUE)=0,"", HLOOKUP(InvoerRolluik!$F$13,kastvorm!F$1:M$49,ROW(B3),TRUE)),"")</f>
        <v/>
      </c>
      <c r="C3" t="str">
        <f>_xlfn.IFNA(IF(HLOOKUP(InvoerRolluik!$G$13,kastvorm!F$1:N$49,ROW(C3),TRUE)=0,"", HLOOKUP(InvoerRolluik!$G$13,kastvorm!F$1:N$49,ROW(C3),TRUE)),"")</f>
        <v/>
      </c>
      <c r="D3" t="str">
        <f>_xlfn.IFNA(IF(HLOOKUP(InvoerRolluik!$H$13,kastvorm!F$1:O$49,ROW(D3),TRUE)=0,"", HLOOKUP(InvoerRolluik!$H$13,kastvorm!F$1:O$49,ROW(D3),TRUE)),"")</f>
        <v/>
      </c>
      <c r="E3" t="str">
        <f>_xlfn.IFNA(IF(HLOOKUP(InvoerRolluik!$I$13,kastvorm!F$1:P$49,ROW(E3),TRUE)=0,"", HLOOKUP(InvoerRolluik!$I$13,kastvorm!F$1:P$49,ROW(E3),TRUE)),"")</f>
        <v/>
      </c>
      <c r="F3" s="75" t="s">
        <v>71</v>
      </c>
      <c r="G3" s="16" t="s">
        <v>71</v>
      </c>
      <c r="H3" s="16" t="s">
        <v>71</v>
      </c>
      <c r="I3" s="16" t="s">
        <v>71</v>
      </c>
      <c r="J3" s="16" t="s">
        <v>71</v>
      </c>
      <c r="K3" s="16" t="s">
        <v>71</v>
      </c>
      <c r="L3" s="76" t="s">
        <v>71</v>
      </c>
    </row>
    <row r="4" spans="1:12" x14ac:dyDescent="0.25">
      <c r="A4" t="str">
        <f>_xlfn.IFNA(IF(HLOOKUP(InvoerRolluik!$E$13,kastvorm!F$1:L$49,ROW(A4),TRUE)=0,"", HLOOKUP(InvoerRolluik!$E$13,kastvorm!F$1:L$49,ROW(A4),TRUE)),"")</f>
        <v/>
      </c>
      <c r="B4" t="str">
        <f>_xlfn.IFNA(IF(HLOOKUP(InvoerRolluik!$F$13,kastvorm!F$1:M$49,ROW(B4),TRUE)=0,"", HLOOKUP(InvoerRolluik!$F$13,kastvorm!F$1:M$49,ROW(B4),TRUE)),"")</f>
        <v/>
      </c>
      <c r="C4" t="str">
        <f>_xlfn.IFNA(IF(HLOOKUP(InvoerRolluik!$G$13,kastvorm!F$1:N$49,ROW(C4),TRUE)=0,"", HLOOKUP(InvoerRolluik!$G$13,kastvorm!F$1:N$49,ROW(C4),TRUE)),"")</f>
        <v/>
      </c>
      <c r="D4" t="str">
        <f>_xlfn.IFNA(IF(HLOOKUP(InvoerRolluik!$H$13,kastvorm!F$1:O$49,ROW(D4),TRUE)=0,"", HLOOKUP(InvoerRolluik!$H$13,kastvorm!F$1:O$49,ROW(D4),TRUE)),"")</f>
        <v/>
      </c>
      <c r="E4" t="str">
        <f>_xlfn.IFNA(IF(HLOOKUP(InvoerRolluik!$I$13,kastvorm!F$1:P$49,ROW(E4),TRUE)=0,"", HLOOKUP(InvoerRolluik!$I$13,kastvorm!F$1:P$49,ROW(E4),TRUE)),"")</f>
        <v/>
      </c>
      <c r="F4" s="75" t="s">
        <v>115</v>
      </c>
      <c r="G4" s="16" t="s">
        <v>115</v>
      </c>
      <c r="H4" s="16"/>
      <c r="I4" s="16"/>
      <c r="J4" s="16"/>
      <c r="K4" s="16" t="s">
        <v>115</v>
      </c>
      <c r="L4" s="76" t="s">
        <v>115</v>
      </c>
    </row>
    <row r="5" spans="1:12" x14ac:dyDescent="0.25">
      <c r="A5" t="str">
        <f>_xlfn.IFNA(IF(HLOOKUP(InvoerRolluik!$E$13,kastvorm!F$1:L$49,ROW(A5),TRUE)=0,"", HLOOKUP(InvoerRolluik!$E$13,kastvorm!F$1:L$49,ROW(A5),TRUE)),"")</f>
        <v/>
      </c>
      <c r="B5" t="str">
        <f>_xlfn.IFNA(IF(HLOOKUP(InvoerRolluik!$F$13,kastvorm!F$1:M$49,ROW(B5),TRUE)=0,"", HLOOKUP(InvoerRolluik!$F$13,kastvorm!F$1:M$49,ROW(B5),TRUE)),"")</f>
        <v/>
      </c>
      <c r="C5" t="str">
        <f>_xlfn.IFNA(IF(HLOOKUP(InvoerRolluik!$G$13,kastvorm!F$1:N$49,ROW(C5),TRUE)=0,"", HLOOKUP(InvoerRolluik!$G$13,kastvorm!F$1:N$49,ROW(C5),TRUE)),"")</f>
        <v/>
      </c>
      <c r="D5" t="str">
        <f>_xlfn.IFNA(IF(HLOOKUP(InvoerRolluik!$H$13,kastvorm!F$1:O$49,ROW(D5),TRUE)=0,"", HLOOKUP(InvoerRolluik!$H$13,kastvorm!F$1:O$49,ROW(D5),TRUE)),"")</f>
        <v/>
      </c>
      <c r="E5" t="str">
        <f>_xlfn.IFNA(IF(HLOOKUP(InvoerRolluik!$I$13,kastvorm!F$1:P$49,ROW(E5),TRUE)=0,"", HLOOKUP(InvoerRolluik!$I$13,kastvorm!F$1:P$49,ROW(E5),TRUE)),"")</f>
        <v/>
      </c>
      <c r="F5" s="75"/>
      <c r="G5" s="16"/>
      <c r="H5" s="16"/>
      <c r="I5" s="16"/>
      <c r="J5" s="16"/>
      <c r="K5" s="16"/>
      <c r="L5" s="76"/>
    </row>
    <row r="6" spans="1:12" x14ac:dyDescent="0.25">
      <c r="A6" t="str">
        <f>_xlfn.IFNA(IF(HLOOKUP(InvoerRolluik!$E$13,kastvorm!F$1:L$49,ROW(A6),TRUE)=0,"", HLOOKUP(InvoerRolluik!$E$13,kastvorm!F$1:L$49,ROW(A6),TRUE)),"")</f>
        <v/>
      </c>
      <c r="B6" t="str">
        <f>_xlfn.IFNA(IF(HLOOKUP(InvoerRolluik!$F$13,kastvorm!F$1:M$49,ROW(B6),TRUE)=0,"", HLOOKUP(InvoerRolluik!$F$13,kastvorm!F$1:M$49,ROW(B6),TRUE)),"")</f>
        <v/>
      </c>
      <c r="C6" t="str">
        <f>_xlfn.IFNA(IF(HLOOKUP(InvoerRolluik!$G$13,kastvorm!F$1:N$49,ROW(C6),TRUE)=0,"", HLOOKUP(InvoerRolluik!$G$13,kastvorm!F$1:N$49,ROW(C6),TRUE)),"")</f>
        <v/>
      </c>
      <c r="D6" t="str">
        <f>_xlfn.IFNA(IF(HLOOKUP(InvoerRolluik!$H$13,kastvorm!F$1:O$49,ROW(D6),TRUE)=0,"", HLOOKUP(InvoerRolluik!$H$13,kastvorm!F$1:O$49,ROW(D6),TRUE)),"")</f>
        <v/>
      </c>
      <c r="E6" t="str">
        <f>_xlfn.IFNA(IF(HLOOKUP(InvoerRolluik!$I$13,kastvorm!F$1:P$49,ROW(E6),TRUE)=0,"", HLOOKUP(InvoerRolluik!$I$13,kastvorm!F$1:P$49,ROW(E6),TRUE)),"")</f>
        <v/>
      </c>
      <c r="F6" s="75"/>
      <c r="G6" s="16"/>
      <c r="H6" s="16"/>
      <c r="I6" s="16"/>
      <c r="J6" s="16"/>
      <c r="K6" s="16"/>
      <c r="L6" s="76"/>
    </row>
    <row r="7" spans="1:12" x14ac:dyDescent="0.25">
      <c r="A7" t="str">
        <f>_xlfn.IFNA(IF(HLOOKUP(InvoerRolluik!$E$13,kastvorm!F$1:L$49,ROW(A7),TRUE)=0,"", HLOOKUP(InvoerRolluik!$E$13,kastvorm!F$1:L$49,ROW(A7),TRUE)),"")</f>
        <v/>
      </c>
      <c r="B7" t="str">
        <f>_xlfn.IFNA(IF(HLOOKUP(InvoerRolluik!$F$13,kastvorm!F$1:M$49,ROW(B7),TRUE)=0,"", HLOOKUP(InvoerRolluik!$F$13,kastvorm!F$1:M$49,ROW(B7),TRUE)),"")</f>
        <v/>
      </c>
      <c r="C7" t="str">
        <f>_xlfn.IFNA(IF(HLOOKUP(InvoerRolluik!$G$13,kastvorm!F$1:N$49,ROW(C7),TRUE)=0,"", HLOOKUP(InvoerRolluik!$G$13,kastvorm!F$1:N$49,ROW(C7),TRUE)),"")</f>
        <v/>
      </c>
      <c r="D7" t="str">
        <f>_xlfn.IFNA(IF(HLOOKUP(InvoerRolluik!$H$13,kastvorm!F$1:O$49,ROW(D7),TRUE)=0,"", HLOOKUP(InvoerRolluik!$H$13,kastvorm!F$1:O$49,ROW(D7),TRUE)),"")</f>
        <v/>
      </c>
      <c r="E7" t="str">
        <f>_xlfn.IFNA(IF(HLOOKUP(InvoerRolluik!$I$13,kastvorm!F$1:P$49,ROW(E7),TRUE)=0,"", HLOOKUP(InvoerRolluik!$I$13,kastvorm!F$1:P$49,ROW(E7),TRUE)),"")</f>
        <v/>
      </c>
      <c r="F7" s="75"/>
      <c r="G7" s="16"/>
      <c r="H7" s="16"/>
      <c r="I7" s="16"/>
      <c r="J7" s="16"/>
      <c r="K7" s="16"/>
      <c r="L7" s="76"/>
    </row>
    <row r="8" spans="1:12" x14ac:dyDescent="0.25">
      <c r="A8" t="str">
        <f>_xlfn.IFNA(IF(HLOOKUP(InvoerRolluik!$E$13,kastvorm!F$1:L$49,ROW(A8),TRUE)=0,"", HLOOKUP(InvoerRolluik!$E$13,kastvorm!F$1:L$49,ROW(A8),TRUE)),"")</f>
        <v/>
      </c>
      <c r="B8" t="str">
        <f>_xlfn.IFNA(IF(HLOOKUP(InvoerRolluik!$F$13,kastvorm!F$1:M$49,ROW(B8),TRUE)=0,"", HLOOKUP(InvoerRolluik!$F$13,kastvorm!F$1:M$49,ROW(B8),TRUE)),"")</f>
        <v/>
      </c>
      <c r="C8" t="str">
        <f>_xlfn.IFNA(IF(HLOOKUP(InvoerRolluik!$G$13,kastvorm!F$1:N$49,ROW(C8),TRUE)=0,"", HLOOKUP(InvoerRolluik!$G$13,kastvorm!F$1:N$49,ROW(C8),TRUE)),"")</f>
        <v/>
      </c>
      <c r="D8" t="str">
        <f>_xlfn.IFNA(IF(HLOOKUP(InvoerRolluik!$H$13,kastvorm!F$1:O$49,ROW(D8),TRUE)=0,"", HLOOKUP(InvoerRolluik!$H$13,kastvorm!F$1:O$49,ROW(D8),TRUE)),"")</f>
        <v/>
      </c>
      <c r="E8" t="str">
        <f>_xlfn.IFNA(IF(HLOOKUP(InvoerRolluik!$I$13,kastvorm!F$1:P$49,ROW(E8),TRUE)=0,"", HLOOKUP(InvoerRolluik!$I$13,kastvorm!F$1:P$49,ROW(E8),TRUE)),"")</f>
        <v/>
      </c>
      <c r="F8" s="75"/>
      <c r="G8" s="16"/>
      <c r="H8" s="16"/>
      <c r="I8" s="16"/>
      <c r="J8" s="16"/>
      <c r="K8" s="16"/>
      <c r="L8" s="76"/>
    </row>
    <row r="9" spans="1:12" x14ac:dyDescent="0.25">
      <c r="A9" t="str">
        <f>_xlfn.IFNA(IF(HLOOKUP(InvoerRolluik!$E$13,kastvorm!F$1:L$49,ROW(A9),TRUE)=0,"", HLOOKUP(InvoerRolluik!$E$13,kastvorm!F$1:L$49,ROW(A9),TRUE)),"")</f>
        <v/>
      </c>
      <c r="B9" t="str">
        <f>_xlfn.IFNA(IF(HLOOKUP(InvoerRolluik!$F$13,kastvorm!F$1:M$49,ROW(B9),TRUE)=0,"", HLOOKUP(InvoerRolluik!$F$13,kastvorm!F$1:M$49,ROW(B9),TRUE)),"")</f>
        <v/>
      </c>
      <c r="C9" t="str">
        <f>_xlfn.IFNA(IF(HLOOKUP(InvoerRolluik!$G$13,kastvorm!F$1:N$49,ROW(C9),TRUE)=0,"", HLOOKUP(InvoerRolluik!$G$13,kastvorm!F$1:N$49,ROW(C9),TRUE)),"")</f>
        <v/>
      </c>
      <c r="D9" t="str">
        <f>_xlfn.IFNA(IF(HLOOKUP(InvoerRolluik!$H$13,kastvorm!F$1:O$49,ROW(D9),TRUE)=0,"", HLOOKUP(InvoerRolluik!$H$13,kastvorm!F$1:O$49,ROW(D9),TRUE)),"")</f>
        <v/>
      </c>
      <c r="E9" t="str">
        <f>_xlfn.IFNA(IF(HLOOKUP(InvoerRolluik!$I$13,kastvorm!F$1:P$49,ROW(E9),TRUE)=0,"", HLOOKUP(InvoerRolluik!$I$13,kastvorm!F$1:P$49,ROW(E9),TRUE)),"")</f>
        <v/>
      </c>
      <c r="F9" s="75"/>
      <c r="G9" s="16"/>
      <c r="H9" s="16"/>
      <c r="I9" s="16"/>
      <c r="J9" s="16"/>
      <c r="K9" s="16"/>
      <c r="L9" s="76"/>
    </row>
    <row r="10" spans="1:12" x14ac:dyDescent="0.25">
      <c r="A10" t="str">
        <f>_xlfn.IFNA(IF(HLOOKUP(InvoerRolluik!$E$13,kastvorm!F$1:L$49,ROW(A10),TRUE)=0,"", HLOOKUP(InvoerRolluik!$E$13,kastvorm!F$1:L$49,ROW(A10),TRUE)),"")</f>
        <v/>
      </c>
      <c r="B10" t="str">
        <f>_xlfn.IFNA(IF(HLOOKUP(InvoerRolluik!$F$13,kastvorm!F$1:M$49,ROW(B10),TRUE)=0,"", HLOOKUP(InvoerRolluik!$F$13,kastvorm!F$1:M$49,ROW(B10),TRUE)),"")</f>
        <v/>
      </c>
      <c r="C10" t="str">
        <f>_xlfn.IFNA(IF(HLOOKUP(InvoerRolluik!$G$13,kastvorm!F$1:N$49,ROW(C10),TRUE)=0,"", HLOOKUP(InvoerRolluik!$G$13,kastvorm!F$1:N$49,ROW(C10),TRUE)),"")</f>
        <v/>
      </c>
      <c r="D10" t="str">
        <f>_xlfn.IFNA(IF(HLOOKUP(InvoerRolluik!$H$13,kastvorm!F$1:O$49,ROW(D10),TRUE)=0,"", HLOOKUP(InvoerRolluik!$H$13,kastvorm!F$1:O$49,ROW(D10),TRUE)),"")</f>
        <v/>
      </c>
      <c r="E10" t="str">
        <f>_xlfn.IFNA(IF(HLOOKUP(InvoerRolluik!$I$13,kastvorm!F$1:P$49,ROW(E10),TRUE)=0,"", HLOOKUP(InvoerRolluik!$I$13,kastvorm!F$1:P$49,ROW(E10),TRUE)),"")</f>
        <v/>
      </c>
      <c r="F10" s="75"/>
      <c r="G10" s="16"/>
      <c r="H10" s="16"/>
      <c r="I10" s="16"/>
      <c r="J10" s="16"/>
      <c r="K10" s="16"/>
      <c r="L10" s="76"/>
    </row>
    <row r="11" spans="1:12" x14ac:dyDescent="0.25">
      <c r="A11" t="str">
        <f>_xlfn.IFNA(IF(HLOOKUP(InvoerRolluik!$E$13,kastvorm!F$1:L$49,ROW(A11),TRUE)=0,"", HLOOKUP(InvoerRolluik!$E$13,kastvorm!F$1:L$49,ROW(A11),TRUE)),"")</f>
        <v/>
      </c>
      <c r="B11" t="str">
        <f>_xlfn.IFNA(IF(HLOOKUP(InvoerRolluik!$F$13,kastvorm!F$1:M$49,ROW(B11),TRUE)=0,"", HLOOKUP(InvoerRolluik!$F$13,kastvorm!F$1:M$49,ROW(B11),TRUE)),"")</f>
        <v/>
      </c>
      <c r="C11" t="str">
        <f>_xlfn.IFNA(IF(HLOOKUP(InvoerRolluik!$G$13,kastvorm!F$1:N$49,ROW(C11),TRUE)=0,"", HLOOKUP(InvoerRolluik!$G$13,kastvorm!F$1:N$49,ROW(C11),TRUE)),"")</f>
        <v/>
      </c>
      <c r="D11" t="str">
        <f>_xlfn.IFNA(IF(HLOOKUP(InvoerRolluik!$H$13,kastvorm!F$1:O$49,ROW(D11),TRUE)=0,"", HLOOKUP(InvoerRolluik!$H$13,kastvorm!F$1:O$49,ROW(D11),TRUE)),"")</f>
        <v/>
      </c>
      <c r="E11" t="str">
        <f>_xlfn.IFNA(IF(HLOOKUP(InvoerRolluik!$I$13,kastvorm!F$1:P$49,ROW(E11),TRUE)=0,"", HLOOKUP(InvoerRolluik!$I$13,kastvorm!F$1:P$49,ROW(E11),TRUE)),"")</f>
        <v/>
      </c>
      <c r="F11" s="75"/>
      <c r="G11" s="16"/>
      <c r="H11" s="16"/>
      <c r="I11" s="16"/>
      <c r="J11" s="16"/>
      <c r="K11" s="16"/>
      <c r="L11" s="76"/>
    </row>
    <row r="12" spans="1:12" x14ac:dyDescent="0.25">
      <c r="A12" t="str">
        <f>_xlfn.IFNA(IF(HLOOKUP(InvoerRolluik!$E$13,kastvorm!F$1:L$49,ROW(A12),TRUE)=0,"", HLOOKUP(InvoerRolluik!$E$13,kastvorm!F$1:L$49,ROW(A12),TRUE)),"")</f>
        <v/>
      </c>
      <c r="B12" t="str">
        <f>_xlfn.IFNA(IF(HLOOKUP(InvoerRolluik!$F$13,kastvorm!F$1:M$49,ROW(B12),TRUE)=0,"", HLOOKUP(InvoerRolluik!$F$13,kastvorm!F$1:M$49,ROW(B12),TRUE)),"")</f>
        <v/>
      </c>
      <c r="C12" t="str">
        <f>_xlfn.IFNA(IF(HLOOKUP(InvoerRolluik!$G$13,kastvorm!F$1:N$49,ROW(C12),TRUE)=0,"", HLOOKUP(InvoerRolluik!$G$13,kastvorm!F$1:N$49,ROW(C12),TRUE)),"")</f>
        <v/>
      </c>
      <c r="D12" t="str">
        <f>_xlfn.IFNA(IF(HLOOKUP(InvoerRolluik!$H$13,kastvorm!F$1:O$49,ROW(D12),TRUE)=0,"", HLOOKUP(InvoerRolluik!$H$13,kastvorm!F$1:O$49,ROW(D12),TRUE)),"")</f>
        <v/>
      </c>
      <c r="E12" t="str">
        <f>_xlfn.IFNA(IF(HLOOKUP(InvoerRolluik!$I$13,kastvorm!F$1:P$49,ROW(E12),TRUE)=0,"", HLOOKUP(InvoerRolluik!$I$13,kastvorm!F$1:P$49,ROW(E12),TRUE)),"")</f>
        <v/>
      </c>
      <c r="F12" s="75"/>
      <c r="G12" s="16"/>
      <c r="H12" s="16"/>
      <c r="I12" s="16"/>
      <c r="J12" s="16"/>
      <c r="K12" s="16"/>
      <c r="L12" s="76"/>
    </row>
    <row r="13" spans="1:12" x14ac:dyDescent="0.25">
      <c r="A13" t="str">
        <f>_xlfn.IFNA(IF(HLOOKUP(InvoerRolluik!$E$13,kastvorm!F$1:L$49,ROW(A13),TRUE)=0,"", HLOOKUP(InvoerRolluik!$E$13,kastvorm!F$1:L$49,ROW(A13),TRUE)),"")</f>
        <v/>
      </c>
      <c r="B13" t="str">
        <f>_xlfn.IFNA(IF(HLOOKUP(InvoerRolluik!$F$13,kastvorm!F$1:M$49,ROW(B13),TRUE)=0,"", HLOOKUP(InvoerRolluik!$F$13,kastvorm!F$1:M$49,ROW(B13),TRUE)),"")</f>
        <v/>
      </c>
      <c r="C13" t="str">
        <f>_xlfn.IFNA(IF(HLOOKUP(InvoerRolluik!$G$13,kastvorm!F$1:N$49,ROW(C13),TRUE)=0,"", HLOOKUP(InvoerRolluik!$G$13,kastvorm!F$1:N$49,ROW(C13),TRUE)),"")</f>
        <v/>
      </c>
      <c r="D13" t="str">
        <f>_xlfn.IFNA(IF(HLOOKUP(InvoerRolluik!$H$13,kastvorm!F$1:O$49,ROW(D13),TRUE)=0,"", HLOOKUP(InvoerRolluik!$H$13,kastvorm!F$1:O$49,ROW(D13),TRUE)),"")</f>
        <v/>
      </c>
      <c r="E13" t="str">
        <f>_xlfn.IFNA(IF(HLOOKUP(InvoerRolluik!$I$13,kastvorm!F$1:P$49,ROW(E13),TRUE)=0,"", HLOOKUP(InvoerRolluik!$I$13,kastvorm!F$1:P$49,ROW(E13),TRUE)),"")</f>
        <v/>
      </c>
      <c r="F13" s="75"/>
      <c r="G13" s="16"/>
      <c r="H13" s="16"/>
      <c r="I13" s="16"/>
      <c r="J13" s="16"/>
      <c r="K13" s="16"/>
      <c r="L13" s="76"/>
    </row>
    <row r="14" spans="1:12" x14ac:dyDescent="0.25">
      <c r="A14" t="str">
        <f>_xlfn.IFNA(IF(HLOOKUP(InvoerRolluik!$E$13,kastvorm!F$1:L$49,ROW(A14),TRUE)=0,"", HLOOKUP(InvoerRolluik!$E$13,kastvorm!F$1:L$49,ROW(A14),TRUE)),"")</f>
        <v/>
      </c>
      <c r="B14" t="str">
        <f>_xlfn.IFNA(IF(HLOOKUP(InvoerRolluik!$F$13,kastvorm!F$1:M$49,ROW(B14),TRUE)=0,"", HLOOKUP(InvoerRolluik!$F$13,kastvorm!F$1:M$49,ROW(B14),TRUE)),"")</f>
        <v/>
      </c>
      <c r="C14" t="str">
        <f>_xlfn.IFNA(IF(HLOOKUP(InvoerRolluik!$G$13,kastvorm!F$1:N$49,ROW(C14),TRUE)=0,"", HLOOKUP(InvoerRolluik!$G$13,kastvorm!F$1:N$49,ROW(C14),TRUE)),"")</f>
        <v/>
      </c>
      <c r="D14" t="str">
        <f>_xlfn.IFNA(IF(HLOOKUP(InvoerRolluik!$H$13,kastvorm!F$1:O$49,ROW(D14),TRUE)=0,"", HLOOKUP(InvoerRolluik!$H$13,kastvorm!F$1:O$49,ROW(D14),TRUE)),"")</f>
        <v/>
      </c>
      <c r="E14" t="str">
        <f>_xlfn.IFNA(IF(HLOOKUP(InvoerRolluik!$I$13,kastvorm!F$1:P$49,ROW(E14),TRUE)=0,"", HLOOKUP(InvoerRolluik!$I$13,kastvorm!F$1:P$49,ROW(E14),TRUE)),"")</f>
        <v/>
      </c>
      <c r="F14" s="75"/>
      <c r="G14" s="16"/>
      <c r="H14" s="16"/>
      <c r="I14" s="16"/>
      <c r="J14" s="16"/>
      <c r="K14" s="16"/>
      <c r="L14" s="76"/>
    </row>
    <row r="15" spans="1:12" x14ac:dyDescent="0.25">
      <c r="A15" t="str">
        <f>_xlfn.IFNA(IF(HLOOKUP(InvoerRolluik!$E$13,kastvorm!F$1:L$49,ROW(A15),TRUE)=0,"", HLOOKUP(InvoerRolluik!$E$13,kastvorm!F$1:L$49,ROW(A15),TRUE)),"")</f>
        <v/>
      </c>
      <c r="B15" t="str">
        <f>_xlfn.IFNA(IF(HLOOKUP(InvoerRolluik!$F$13,kastvorm!F$1:M$49,ROW(B15),TRUE)=0,"", HLOOKUP(InvoerRolluik!$F$13,kastvorm!F$1:M$49,ROW(B15),TRUE)),"")</f>
        <v/>
      </c>
      <c r="C15" t="str">
        <f>_xlfn.IFNA(IF(HLOOKUP(InvoerRolluik!$G$13,kastvorm!F$1:N$49,ROW(C15),TRUE)=0,"", HLOOKUP(InvoerRolluik!$G$13,kastvorm!F$1:N$49,ROW(C15),TRUE)),"")</f>
        <v/>
      </c>
      <c r="D15" t="str">
        <f>_xlfn.IFNA(IF(HLOOKUP(InvoerRolluik!$H$13,kastvorm!F$1:O$49,ROW(D15),TRUE)=0,"", HLOOKUP(InvoerRolluik!$H$13,kastvorm!F$1:O$49,ROW(D15),TRUE)),"")</f>
        <v/>
      </c>
      <c r="E15" t="str">
        <f>_xlfn.IFNA(IF(HLOOKUP(InvoerRolluik!$I$13,kastvorm!F$1:P$49,ROW(E15),TRUE)=0,"", HLOOKUP(InvoerRolluik!$I$13,kastvorm!F$1:P$49,ROW(E15),TRUE)),"")</f>
        <v/>
      </c>
      <c r="F15" s="75"/>
      <c r="G15" s="16"/>
      <c r="H15" s="16"/>
      <c r="I15" s="16"/>
      <c r="J15" s="16"/>
      <c r="K15" s="16"/>
      <c r="L15" s="76"/>
    </row>
    <row r="16" spans="1:12" x14ac:dyDescent="0.25">
      <c r="A16" t="str">
        <f>_xlfn.IFNA(IF(HLOOKUP(InvoerRolluik!$E$13,kastvorm!F$1:L$49,ROW(A16),TRUE)=0,"", HLOOKUP(InvoerRolluik!$E$13,kastvorm!F$1:L$49,ROW(A16),TRUE)),"")</f>
        <v/>
      </c>
      <c r="B16" t="str">
        <f>_xlfn.IFNA(IF(HLOOKUP(InvoerRolluik!$F$13,kastvorm!F$1:M$49,ROW(B16),TRUE)=0,"", HLOOKUP(InvoerRolluik!$F$13,kastvorm!F$1:M$49,ROW(B16),TRUE)),"")</f>
        <v/>
      </c>
      <c r="C16" t="str">
        <f>_xlfn.IFNA(IF(HLOOKUP(InvoerRolluik!$G$13,kastvorm!F$1:N$49,ROW(C16),TRUE)=0,"", HLOOKUP(InvoerRolluik!$G$13,kastvorm!F$1:N$49,ROW(C16),TRUE)),"")</f>
        <v/>
      </c>
      <c r="D16" t="str">
        <f>_xlfn.IFNA(IF(HLOOKUP(InvoerRolluik!$H$13,kastvorm!F$1:O$49,ROW(D16),TRUE)=0,"", HLOOKUP(InvoerRolluik!$H$13,kastvorm!F$1:O$49,ROW(D16),TRUE)),"")</f>
        <v/>
      </c>
      <c r="E16" t="str">
        <f>_xlfn.IFNA(IF(HLOOKUP(InvoerRolluik!$I$13,kastvorm!F$1:P$49,ROW(E16),TRUE)=0,"", HLOOKUP(InvoerRolluik!$I$13,kastvorm!F$1:P$49,ROW(E16),TRUE)),"")</f>
        <v/>
      </c>
      <c r="F16" s="75"/>
      <c r="G16" s="16"/>
      <c r="H16" s="16"/>
      <c r="I16" s="16"/>
      <c r="J16" s="16"/>
      <c r="K16" s="16"/>
      <c r="L16" s="76"/>
    </row>
    <row r="17" spans="1:12" x14ac:dyDescent="0.25">
      <c r="A17" t="str">
        <f>_xlfn.IFNA(IF(HLOOKUP(InvoerRolluik!$E$13,kastvorm!F$1:L$49,ROW(A17),TRUE)=0,"", HLOOKUP(InvoerRolluik!$E$13,kastvorm!F$1:L$49,ROW(A17),TRUE)),"")</f>
        <v/>
      </c>
      <c r="B17" t="str">
        <f>_xlfn.IFNA(IF(HLOOKUP(InvoerRolluik!$F$13,kastvorm!F$1:M$49,ROW(B17),TRUE)=0,"", HLOOKUP(InvoerRolluik!$F$13,kastvorm!F$1:M$49,ROW(B17),TRUE)),"")</f>
        <v/>
      </c>
      <c r="C17" t="str">
        <f>_xlfn.IFNA(IF(HLOOKUP(InvoerRolluik!$G$13,kastvorm!F$1:N$49,ROW(C17),TRUE)=0,"", HLOOKUP(InvoerRolluik!$G$13,kastvorm!F$1:N$49,ROW(C17),TRUE)),"")</f>
        <v/>
      </c>
      <c r="D17" t="str">
        <f>_xlfn.IFNA(IF(HLOOKUP(InvoerRolluik!$H$13,kastvorm!F$1:O$49,ROW(D17),TRUE)=0,"", HLOOKUP(InvoerRolluik!$H$13,kastvorm!F$1:O$49,ROW(D17),TRUE)),"")</f>
        <v/>
      </c>
      <c r="E17" t="str">
        <f>_xlfn.IFNA(IF(HLOOKUP(InvoerRolluik!$I$13,kastvorm!F$1:P$49,ROW(E17),TRUE)=0,"", HLOOKUP(InvoerRolluik!$I$13,kastvorm!F$1:P$49,ROW(E17),TRUE)),"")</f>
        <v/>
      </c>
      <c r="F17" s="75"/>
      <c r="G17" s="16"/>
      <c r="H17" s="16"/>
      <c r="I17" s="16"/>
      <c r="J17" s="16"/>
      <c r="K17" s="16"/>
      <c r="L17" s="76"/>
    </row>
    <row r="18" spans="1:12" x14ac:dyDescent="0.25">
      <c r="A18" t="str">
        <f>_xlfn.IFNA(IF(HLOOKUP(InvoerRolluik!$E$13,kastvorm!F$1:L$49,ROW(A18),TRUE)=0,"", HLOOKUP(InvoerRolluik!$E$13,kastvorm!F$1:L$49,ROW(A18),TRUE)),"")</f>
        <v/>
      </c>
      <c r="B18" t="str">
        <f>_xlfn.IFNA(IF(HLOOKUP(InvoerRolluik!$F$13,kastvorm!F$1:M$49,ROW(B18),TRUE)=0,"", HLOOKUP(InvoerRolluik!$F$13,kastvorm!F$1:M$49,ROW(B18),TRUE)),"")</f>
        <v/>
      </c>
      <c r="C18" t="str">
        <f>_xlfn.IFNA(IF(HLOOKUP(InvoerRolluik!$G$13,kastvorm!F$1:N$49,ROW(C18),TRUE)=0,"", HLOOKUP(InvoerRolluik!$G$13,kastvorm!F$1:N$49,ROW(C18),TRUE)),"")</f>
        <v/>
      </c>
      <c r="D18" t="str">
        <f>_xlfn.IFNA(IF(HLOOKUP(InvoerRolluik!$H$13,kastvorm!F$1:O$49,ROW(D18),TRUE)=0,"", HLOOKUP(InvoerRolluik!$H$13,kastvorm!F$1:O$49,ROW(D18),TRUE)),"")</f>
        <v/>
      </c>
      <c r="E18" t="str">
        <f>_xlfn.IFNA(IF(HLOOKUP(InvoerRolluik!$I$13,kastvorm!F$1:P$49,ROW(E18),TRUE)=0,"", HLOOKUP(InvoerRolluik!$I$13,kastvorm!F$1:P$49,ROW(E18),TRUE)),"")</f>
        <v/>
      </c>
      <c r="F18" s="75"/>
      <c r="G18" s="16"/>
      <c r="H18" s="16"/>
      <c r="I18" s="16"/>
      <c r="J18" s="16"/>
      <c r="K18" s="16"/>
      <c r="L18" s="76"/>
    </row>
    <row r="19" spans="1:12" x14ac:dyDescent="0.25">
      <c r="A19" t="str">
        <f>_xlfn.IFNA(IF(HLOOKUP(InvoerRolluik!$E$13,kastvorm!F$1:L$49,ROW(A19),TRUE)=0,"", HLOOKUP(InvoerRolluik!$E$13,kastvorm!F$1:L$49,ROW(A19),TRUE)),"")</f>
        <v/>
      </c>
      <c r="B19" t="str">
        <f>_xlfn.IFNA(IF(HLOOKUP(InvoerRolluik!$F$13,kastvorm!F$1:M$49,ROW(B19),TRUE)=0,"", HLOOKUP(InvoerRolluik!$F$13,kastvorm!F$1:M$49,ROW(B19),TRUE)),"")</f>
        <v/>
      </c>
      <c r="C19" t="str">
        <f>_xlfn.IFNA(IF(HLOOKUP(InvoerRolluik!$G$13,kastvorm!F$1:N$49,ROW(C19),TRUE)=0,"", HLOOKUP(InvoerRolluik!$G$13,kastvorm!F$1:N$49,ROW(C19),TRUE)),"")</f>
        <v/>
      </c>
      <c r="D19" t="str">
        <f>_xlfn.IFNA(IF(HLOOKUP(InvoerRolluik!$H$13,kastvorm!F$1:O$49,ROW(D19),TRUE)=0,"", HLOOKUP(InvoerRolluik!$H$13,kastvorm!F$1:O$49,ROW(D19),TRUE)),"")</f>
        <v/>
      </c>
      <c r="E19" t="str">
        <f>_xlfn.IFNA(IF(HLOOKUP(InvoerRolluik!$I$13,kastvorm!F$1:P$49,ROW(E19),TRUE)=0,"", HLOOKUP(InvoerRolluik!$I$13,kastvorm!F$1:P$49,ROW(E19),TRUE)),"")</f>
        <v/>
      </c>
      <c r="F19" s="75"/>
      <c r="G19" s="16"/>
      <c r="H19" s="16"/>
      <c r="I19" s="16"/>
      <c r="J19" s="16"/>
      <c r="K19" s="16"/>
      <c r="L19" s="76"/>
    </row>
    <row r="20" spans="1:12" x14ac:dyDescent="0.25">
      <c r="A20" t="str">
        <f>_xlfn.IFNA(IF(HLOOKUP(InvoerRolluik!$E$13,kastvorm!F$1:L$49,ROW(A20),TRUE)=0,"", HLOOKUP(InvoerRolluik!$E$13,kastvorm!F$1:L$49,ROW(A20),TRUE)),"")</f>
        <v/>
      </c>
      <c r="B20" t="str">
        <f>_xlfn.IFNA(IF(HLOOKUP(InvoerRolluik!$F$13,kastvorm!F$1:M$49,ROW(B20),TRUE)=0,"", HLOOKUP(InvoerRolluik!$F$13,kastvorm!F$1:M$49,ROW(B20),TRUE)),"")</f>
        <v/>
      </c>
      <c r="C20" t="str">
        <f>_xlfn.IFNA(IF(HLOOKUP(InvoerRolluik!$G$13,kastvorm!F$1:N$49,ROW(C20),TRUE)=0,"", HLOOKUP(InvoerRolluik!$G$13,kastvorm!F$1:N$49,ROW(C20),TRUE)),"")</f>
        <v/>
      </c>
      <c r="D20" t="str">
        <f>_xlfn.IFNA(IF(HLOOKUP(InvoerRolluik!$H$13,kastvorm!F$1:O$49,ROW(D20),TRUE)=0,"", HLOOKUP(InvoerRolluik!$H$13,kastvorm!F$1:O$49,ROW(D20),TRUE)),"")</f>
        <v/>
      </c>
      <c r="E20" t="str">
        <f>_xlfn.IFNA(IF(HLOOKUP(InvoerRolluik!$I$13,kastvorm!F$1:P$49,ROW(E20),TRUE)=0,"", HLOOKUP(InvoerRolluik!$I$13,kastvorm!F$1:P$49,ROW(E20),TRUE)),"")</f>
        <v/>
      </c>
      <c r="F20" s="75"/>
      <c r="G20" s="16"/>
      <c r="H20" s="16"/>
      <c r="I20" s="16"/>
      <c r="J20" s="16"/>
      <c r="K20" s="16"/>
      <c r="L20" s="76"/>
    </row>
    <row r="21" spans="1:12" x14ac:dyDescent="0.25">
      <c r="A21" t="str">
        <f>_xlfn.IFNA(IF(HLOOKUP(InvoerRolluik!$E$13,kastvorm!F$1:L$49,ROW(A21),TRUE)=0,"", HLOOKUP(InvoerRolluik!$E$13,kastvorm!F$1:L$49,ROW(A21),TRUE)),"")</f>
        <v/>
      </c>
      <c r="B21" t="str">
        <f>_xlfn.IFNA(IF(HLOOKUP(InvoerRolluik!$F$13,kastvorm!F$1:M$49,ROW(B21),TRUE)=0,"", HLOOKUP(InvoerRolluik!$F$13,kastvorm!F$1:M$49,ROW(B21),TRUE)),"")</f>
        <v/>
      </c>
      <c r="C21" t="str">
        <f>_xlfn.IFNA(IF(HLOOKUP(InvoerRolluik!$G$13,kastvorm!F$1:N$49,ROW(C21),TRUE)=0,"", HLOOKUP(InvoerRolluik!$G$13,kastvorm!F$1:N$49,ROW(C21),TRUE)),"")</f>
        <v/>
      </c>
      <c r="D21" t="str">
        <f>_xlfn.IFNA(IF(HLOOKUP(InvoerRolluik!$H$13,kastvorm!F$1:O$49,ROW(D21),TRUE)=0,"", HLOOKUP(InvoerRolluik!$H$13,kastvorm!F$1:O$49,ROW(D21),TRUE)),"")</f>
        <v/>
      </c>
      <c r="E21" t="str">
        <f>_xlfn.IFNA(IF(HLOOKUP(InvoerRolluik!$I$13,kastvorm!F$1:P$49,ROW(E21),TRUE)=0,"", HLOOKUP(InvoerRolluik!$I$13,kastvorm!F$1:P$49,ROW(E21),TRUE)),"")</f>
        <v/>
      </c>
      <c r="F21" s="75"/>
      <c r="G21" s="16"/>
      <c r="H21" s="16"/>
      <c r="I21" s="16"/>
      <c r="J21" s="16"/>
      <c r="K21" s="16"/>
      <c r="L21" s="76"/>
    </row>
    <row r="22" spans="1:12" x14ac:dyDescent="0.25">
      <c r="A22" t="str">
        <f>_xlfn.IFNA(IF(HLOOKUP(InvoerRolluik!$E$13,kastvorm!F$1:L$49,ROW(A22),TRUE)=0,"", HLOOKUP(InvoerRolluik!$E$13,kastvorm!F$1:L$49,ROW(A22),TRUE)),"")</f>
        <v/>
      </c>
      <c r="B22" t="str">
        <f>_xlfn.IFNA(IF(HLOOKUP(InvoerRolluik!$F$13,kastvorm!F$1:M$49,ROW(B22),TRUE)=0,"", HLOOKUP(InvoerRolluik!$F$13,kastvorm!F$1:M$49,ROW(B22),TRUE)),"")</f>
        <v/>
      </c>
      <c r="C22" t="str">
        <f>_xlfn.IFNA(IF(HLOOKUP(InvoerRolluik!$G$13,kastvorm!F$1:N$49,ROW(C22),TRUE)=0,"", HLOOKUP(InvoerRolluik!$G$13,kastvorm!F$1:N$49,ROW(C22),TRUE)),"")</f>
        <v/>
      </c>
      <c r="D22" t="str">
        <f>_xlfn.IFNA(IF(HLOOKUP(InvoerRolluik!$H$13,kastvorm!F$1:O$49,ROW(D22),TRUE)=0,"", HLOOKUP(InvoerRolluik!$H$13,kastvorm!F$1:O$49,ROW(D22),TRUE)),"")</f>
        <v/>
      </c>
      <c r="E22" t="str">
        <f>_xlfn.IFNA(IF(HLOOKUP(InvoerRolluik!$I$13,kastvorm!F$1:P$49,ROW(E22),TRUE)=0,"", HLOOKUP(InvoerRolluik!$I$13,kastvorm!F$1:P$49,ROW(E22),TRUE)),"")</f>
        <v/>
      </c>
      <c r="F22" s="75"/>
      <c r="G22" s="16"/>
      <c r="H22" s="16"/>
      <c r="I22" s="16"/>
      <c r="J22" s="16"/>
      <c r="K22" s="16"/>
      <c r="L22" s="76"/>
    </row>
    <row r="23" spans="1:12" x14ac:dyDescent="0.25">
      <c r="A23" t="str">
        <f>_xlfn.IFNA(IF(HLOOKUP(InvoerRolluik!$E$13,kastvorm!F$1:L$49,ROW(A23),TRUE)=0,"", HLOOKUP(InvoerRolluik!$E$13,kastvorm!F$1:L$49,ROW(A23),TRUE)),"")</f>
        <v/>
      </c>
      <c r="B23" t="str">
        <f>_xlfn.IFNA(IF(HLOOKUP(InvoerRolluik!$F$13,kastvorm!F$1:M$49,ROW(B23),TRUE)=0,"", HLOOKUP(InvoerRolluik!$F$13,kastvorm!F$1:M$49,ROW(B23),TRUE)),"")</f>
        <v/>
      </c>
      <c r="C23" t="str">
        <f>_xlfn.IFNA(IF(HLOOKUP(InvoerRolluik!$G$13,kastvorm!F$1:N$49,ROW(C23),TRUE)=0,"", HLOOKUP(InvoerRolluik!$G$13,kastvorm!F$1:N$49,ROW(C23),TRUE)),"")</f>
        <v/>
      </c>
      <c r="D23" t="str">
        <f>_xlfn.IFNA(IF(HLOOKUP(InvoerRolluik!$H$13,kastvorm!F$1:O$49,ROW(D23),TRUE)=0,"", HLOOKUP(InvoerRolluik!$H$13,kastvorm!F$1:O$49,ROW(D23),TRUE)),"")</f>
        <v/>
      </c>
      <c r="E23" t="str">
        <f>_xlfn.IFNA(IF(HLOOKUP(InvoerRolluik!$I$13,kastvorm!F$1:P$49,ROW(E23),TRUE)=0,"", HLOOKUP(InvoerRolluik!$I$13,kastvorm!F$1:P$49,ROW(E23),TRUE)),"")</f>
        <v/>
      </c>
      <c r="F23" s="75"/>
      <c r="G23" s="16"/>
      <c r="H23" s="16"/>
      <c r="I23" s="16"/>
      <c r="J23" s="16"/>
      <c r="K23" s="16"/>
      <c r="L23" s="76"/>
    </row>
    <row r="24" spans="1:12" x14ac:dyDescent="0.25">
      <c r="A24" t="str">
        <f>_xlfn.IFNA(IF(HLOOKUP(InvoerRolluik!$E$13,kastvorm!F$1:L$49,ROW(A24),TRUE)=0,"", HLOOKUP(InvoerRolluik!$E$13,kastvorm!F$1:L$49,ROW(A24),TRUE)),"")</f>
        <v/>
      </c>
      <c r="B24" t="str">
        <f>_xlfn.IFNA(IF(HLOOKUP(InvoerRolluik!$F$13,kastvorm!F$1:M$49,ROW(B24),TRUE)=0,"", HLOOKUP(InvoerRolluik!$F$13,kastvorm!F$1:M$49,ROW(B24),TRUE)),"")</f>
        <v/>
      </c>
      <c r="C24" t="str">
        <f>_xlfn.IFNA(IF(HLOOKUP(InvoerRolluik!$G$13,kastvorm!F$1:N$49,ROW(C24),TRUE)=0,"", HLOOKUP(InvoerRolluik!$G$13,kastvorm!F$1:N$49,ROW(C24),TRUE)),"")</f>
        <v/>
      </c>
      <c r="D24" t="str">
        <f>_xlfn.IFNA(IF(HLOOKUP(InvoerRolluik!$H$13,kastvorm!F$1:O$49,ROW(D24),TRUE)=0,"", HLOOKUP(InvoerRolluik!$H$13,kastvorm!F$1:O$49,ROW(D24),TRUE)),"")</f>
        <v/>
      </c>
      <c r="E24" t="str">
        <f>_xlfn.IFNA(IF(HLOOKUP(InvoerRolluik!$I$13,kastvorm!F$1:P$49,ROW(E24),TRUE)=0,"", HLOOKUP(InvoerRolluik!$I$13,kastvorm!F$1:P$49,ROW(E24),TRUE)),"")</f>
        <v/>
      </c>
      <c r="F24" s="75"/>
      <c r="G24" s="16"/>
      <c r="H24" s="16"/>
      <c r="I24" s="16"/>
      <c r="J24" s="16"/>
      <c r="K24" s="16"/>
      <c r="L24" s="76"/>
    </row>
    <row r="25" spans="1:12" x14ac:dyDescent="0.25">
      <c r="A25" t="str">
        <f>_xlfn.IFNA(IF(HLOOKUP(InvoerRolluik!$E$13,kastvorm!F$1:L$49,ROW(A25),TRUE)=0,"", HLOOKUP(InvoerRolluik!$E$13,kastvorm!F$1:L$49,ROW(A25),TRUE)),"")</f>
        <v/>
      </c>
      <c r="B25" t="str">
        <f>_xlfn.IFNA(IF(HLOOKUP(InvoerRolluik!$F$13,kastvorm!F$1:M$49,ROW(B25),TRUE)=0,"", HLOOKUP(InvoerRolluik!$F$13,kastvorm!F$1:M$49,ROW(B25),TRUE)),"")</f>
        <v/>
      </c>
      <c r="C25" t="str">
        <f>_xlfn.IFNA(IF(HLOOKUP(InvoerRolluik!$G$13,kastvorm!F$1:N$49,ROW(C25),TRUE)=0,"", HLOOKUP(InvoerRolluik!$G$13,kastvorm!F$1:N$49,ROW(C25),TRUE)),"")</f>
        <v/>
      </c>
      <c r="D25" t="str">
        <f>_xlfn.IFNA(IF(HLOOKUP(InvoerRolluik!$H$13,kastvorm!F$1:O$49,ROW(D25),TRUE)=0,"", HLOOKUP(InvoerRolluik!$H$13,kastvorm!F$1:O$49,ROW(D25),TRUE)),"")</f>
        <v/>
      </c>
      <c r="E25" t="str">
        <f>_xlfn.IFNA(IF(HLOOKUP(InvoerRolluik!$I$13,kastvorm!F$1:P$49,ROW(E25),TRUE)=0,"", HLOOKUP(InvoerRolluik!$I$13,kastvorm!F$1:P$49,ROW(E25),TRUE)),"")</f>
        <v/>
      </c>
      <c r="F25" s="75"/>
      <c r="G25" s="16"/>
      <c r="H25" s="16"/>
      <c r="I25" s="16"/>
      <c r="J25" s="16"/>
      <c r="K25" s="16"/>
      <c r="L25" s="76"/>
    </row>
    <row r="26" spans="1:12" x14ac:dyDescent="0.25">
      <c r="A26" t="str">
        <f>_xlfn.IFNA(IF(HLOOKUP(InvoerRolluik!$E$13,kastvorm!F$1:L$49,ROW(A26),TRUE)=0,"", HLOOKUP(InvoerRolluik!$E$13,kastvorm!F$1:L$49,ROW(A26),TRUE)),"")</f>
        <v/>
      </c>
      <c r="B26" t="str">
        <f>_xlfn.IFNA(IF(HLOOKUP(InvoerRolluik!$F$13,kastvorm!F$1:M$49,ROW(B26),TRUE)=0,"", HLOOKUP(InvoerRolluik!$F$13,kastvorm!F$1:M$49,ROW(B26),TRUE)),"")</f>
        <v/>
      </c>
      <c r="C26" t="str">
        <f>_xlfn.IFNA(IF(HLOOKUP(InvoerRolluik!$G$13,kastvorm!F$1:N$49,ROW(C26),TRUE)=0,"", HLOOKUP(InvoerRolluik!$G$13,kastvorm!F$1:N$49,ROW(C26),TRUE)),"")</f>
        <v/>
      </c>
      <c r="D26" t="str">
        <f>_xlfn.IFNA(IF(HLOOKUP(InvoerRolluik!$H$13,kastvorm!F$1:O$49,ROW(D26),TRUE)=0,"", HLOOKUP(InvoerRolluik!$H$13,kastvorm!F$1:O$49,ROW(D26),TRUE)),"")</f>
        <v/>
      </c>
      <c r="E26" t="str">
        <f>_xlfn.IFNA(IF(HLOOKUP(InvoerRolluik!$I$13,kastvorm!F$1:P$49,ROW(E26),TRUE)=0,"", HLOOKUP(InvoerRolluik!$I$13,kastvorm!F$1:P$49,ROW(E26),TRUE)),"")</f>
        <v/>
      </c>
      <c r="F26" s="75"/>
      <c r="G26" s="16"/>
      <c r="H26" s="16"/>
      <c r="I26" s="16"/>
      <c r="J26" s="16"/>
      <c r="K26" s="16"/>
      <c r="L26" s="76"/>
    </row>
    <row r="27" spans="1:12" x14ac:dyDescent="0.25">
      <c r="A27" t="str">
        <f>_xlfn.IFNA(IF(HLOOKUP(InvoerRolluik!$E$13,kastvorm!F$1:L$49,ROW(A27),TRUE)=0,"", HLOOKUP(InvoerRolluik!$E$13,kastvorm!F$1:L$49,ROW(A27),TRUE)),"")</f>
        <v/>
      </c>
      <c r="B27" t="str">
        <f>_xlfn.IFNA(IF(HLOOKUP(InvoerRolluik!$F$13,kastvorm!F$1:M$49,ROW(B27),TRUE)=0,"", HLOOKUP(InvoerRolluik!$F$13,kastvorm!F$1:M$49,ROW(B27),TRUE)),"")</f>
        <v/>
      </c>
      <c r="C27" t="str">
        <f>_xlfn.IFNA(IF(HLOOKUP(InvoerRolluik!$G$13,kastvorm!F$1:N$49,ROW(C27),TRUE)=0,"", HLOOKUP(InvoerRolluik!$G$13,kastvorm!F$1:N$49,ROW(C27),TRUE)),"")</f>
        <v/>
      </c>
      <c r="D27" t="str">
        <f>_xlfn.IFNA(IF(HLOOKUP(InvoerRolluik!$H$13,kastvorm!F$1:O$49,ROW(D27),TRUE)=0,"", HLOOKUP(InvoerRolluik!$H$13,kastvorm!F$1:O$49,ROW(D27),TRUE)),"")</f>
        <v/>
      </c>
      <c r="E27" t="str">
        <f>_xlfn.IFNA(IF(HLOOKUP(InvoerRolluik!$I$13,kastvorm!F$1:P$49,ROW(E27),TRUE)=0,"", HLOOKUP(InvoerRolluik!$I$13,kastvorm!F$1:P$49,ROW(E27),TRUE)),"")</f>
        <v/>
      </c>
      <c r="F27" s="75"/>
      <c r="G27" s="16"/>
      <c r="H27" s="16"/>
      <c r="I27" s="16"/>
      <c r="J27" s="16"/>
      <c r="K27" s="16"/>
      <c r="L27" s="76"/>
    </row>
    <row r="28" spans="1:12" x14ac:dyDescent="0.25">
      <c r="A28" t="str">
        <f>_xlfn.IFNA(IF(HLOOKUP(InvoerRolluik!$E$13,kastvorm!F$1:L$49,ROW(A28),TRUE)=0,"", HLOOKUP(InvoerRolluik!$E$13,kastvorm!F$1:L$49,ROW(A28),TRUE)),"")</f>
        <v/>
      </c>
      <c r="B28" t="str">
        <f>_xlfn.IFNA(IF(HLOOKUP(InvoerRolluik!$F$13,kastvorm!F$1:M$49,ROW(B28),TRUE)=0,"", HLOOKUP(InvoerRolluik!$F$13,kastvorm!F$1:M$49,ROW(B28),TRUE)),"")</f>
        <v/>
      </c>
      <c r="C28" t="str">
        <f>_xlfn.IFNA(IF(HLOOKUP(InvoerRolluik!$G$13,kastvorm!F$1:N$49,ROW(C28),TRUE)=0,"", HLOOKUP(InvoerRolluik!$G$13,kastvorm!F$1:N$49,ROW(C28),TRUE)),"")</f>
        <v/>
      </c>
      <c r="D28" t="str">
        <f>_xlfn.IFNA(IF(HLOOKUP(InvoerRolluik!$H$13,kastvorm!F$1:O$49,ROW(D28),TRUE)=0,"", HLOOKUP(InvoerRolluik!$H$13,kastvorm!F$1:O$49,ROW(D28),TRUE)),"")</f>
        <v/>
      </c>
      <c r="E28" t="str">
        <f>_xlfn.IFNA(IF(HLOOKUP(InvoerRolluik!$I$13,kastvorm!F$1:P$49,ROW(E28),TRUE)=0,"", HLOOKUP(InvoerRolluik!$I$13,kastvorm!F$1:P$49,ROW(E28),TRUE)),"")</f>
        <v/>
      </c>
      <c r="F28" s="75"/>
      <c r="G28" s="16"/>
      <c r="H28" s="16"/>
      <c r="I28" s="16"/>
      <c r="J28" s="16"/>
      <c r="K28" s="16"/>
      <c r="L28" s="76"/>
    </row>
    <row r="29" spans="1:12" x14ac:dyDescent="0.25">
      <c r="A29" t="str">
        <f>_xlfn.IFNA(IF(HLOOKUP(InvoerRolluik!$E$13,kastvorm!F$1:L$49,ROW(A29),TRUE)=0,"", HLOOKUP(InvoerRolluik!$E$13,kastvorm!F$1:L$49,ROW(A29),TRUE)),"")</f>
        <v/>
      </c>
      <c r="B29" t="str">
        <f>_xlfn.IFNA(IF(HLOOKUP(InvoerRolluik!$F$13,kastvorm!F$1:M$49,ROW(B29),TRUE)=0,"", HLOOKUP(InvoerRolluik!$F$13,kastvorm!F$1:M$49,ROW(B29),TRUE)),"")</f>
        <v/>
      </c>
      <c r="C29" t="str">
        <f>_xlfn.IFNA(IF(HLOOKUP(InvoerRolluik!$G$13,kastvorm!F$1:N$49,ROW(C29),TRUE)=0,"", HLOOKUP(InvoerRolluik!$G$13,kastvorm!F$1:N$49,ROW(C29),TRUE)),"")</f>
        <v/>
      </c>
      <c r="D29" t="str">
        <f>_xlfn.IFNA(IF(HLOOKUP(InvoerRolluik!$H$13,kastvorm!F$1:O$49,ROW(D29),TRUE)=0,"", HLOOKUP(InvoerRolluik!$H$13,kastvorm!F$1:O$49,ROW(D29),TRUE)),"")</f>
        <v/>
      </c>
      <c r="E29" t="str">
        <f>_xlfn.IFNA(IF(HLOOKUP(InvoerRolluik!$I$13,kastvorm!F$1:P$49,ROW(E29),TRUE)=0,"", HLOOKUP(InvoerRolluik!$I$13,kastvorm!F$1:P$49,ROW(E29),TRUE)),"")</f>
        <v/>
      </c>
      <c r="F29" s="75"/>
      <c r="G29" s="16"/>
      <c r="H29" s="16"/>
      <c r="I29" s="16"/>
      <c r="J29" s="16"/>
      <c r="K29" s="16"/>
      <c r="L29" s="76"/>
    </row>
    <row r="30" spans="1:12" x14ac:dyDescent="0.25">
      <c r="A30" t="str">
        <f>_xlfn.IFNA(IF(HLOOKUP(InvoerRolluik!$E$13,kastvorm!F$1:L$49,ROW(A30),TRUE)=0,"", HLOOKUP(InvoerRolluik!$E$13,kastvorm!F$1:L$49,ROW(A30),TRUE)),"")</f>
        <v/>
      </c>
      <c r="B30" t="str">
        <f>_xlfn.IFNA(IF(HLOOKUP(InvoerRolluik!$F$13,kastvorm!F$1:M$49,ROW(B30),TRUE)=0,"", HLOOKUP(InvoerRolluik!$F$13,kastvorm!F$1:M$49,ROW(B30),TRUE)),"")</f>
        <v/>
      </c>
      <c r="C30" t="str">
        <f>_xlfn.IFNA(IF(HLOOKUP(InvoerRolluik!$G$13,kastvorm!F$1:N$49,ROW(C30),TRUE)=0,"", HLOOKUP(InvoerRolluik!$G$13,kastvorm!F$1:N$49,ROW(C30),TRUE)),"")</f>
        <v/>
      </c>
      <c r="D30" t="str">
        <f>_xlfn.IFNA(IF(HLOOKUP(InvoerRolluik!$H$13,kastvorm!F$1:O$49,ROW(D30),TRUE)=0,"", HLOOKUP(InvoerRolluik!$H$13,kastvorm!F$1:O$49,ROW(D30),TRUE)),"")</f>
        <v/>
      </c>
      <c r="E30" t="str">
        <f>_xlfn.IFNA(IF(HLOOKUP(InvoerRolluik!$I$13,kastvorm!F$1:P$49,ROW(E30),TRUE)=0,"", HLOOKUP(InvoerRolluik!$I$13,kastvorm!F$1:P$49,ROW(E30),TRUE)),"")</f>
        <v/>
      </c>
      <c r="F30" s="75"/>
      <c r="G30" s="16"/>
      <c r="H30" s="16"/>
      <c r="I30" s="16"/>
      <c r="J30" s="16"/>
      <c r="K30" s="16"/>
      <c r="L30" s="76"/>
    </row>
    <row r="31" spans="1:12" x14ac:dyDescent="0.25">
      <c r="D31" t="str">
        <f>_xlfn.IFNA(IF(HLOOKUP(InvoerRolluik!$H$13,kastvorm!F$1:O$49,ROW(D31),TRUE)=0,"", HLOOKUP(InvoerRolluik!$H$13,kastvorm!F$1:O$49,ROW(D31),TRUE)),"")</f>
        <v/>
      </c>
      <c r="F31" s="138" t="s">
        <v>114</v>
      </c>
      <c r="G31" s="139"/>
      <c r="H31" s="139"/>
      <c r="I31" s="139"/>
      <c r="J31" s="139"/>
      <c r="K31" s="139"/>
      <c r="L31" s="140"/>
    </row>
    <row r="32" spans="1:12" x14ac:dyDescent="0.25">
      <c r="F32" s="77"/>
      <c r="G32" s="19"/>
      <c r="H32" s="19"/>
      <c r="I32" s="19"/>
      <c r="J32" s="19"/>
      <c r="K32" s="19"/>
      <c r="L32" s="78"/>
    </row>
    <row r="36" spans="1:1" x14ac:dyDescent="0.25">
      <c r="A36" t="str">
        <f>_xlfn.IFNA(IF(HLOOKUP(InvoerRolluik!$E$13,Pantser!F$1:L$49,ROW(A36),TRUE)=0,"", HLOOKUP(InvoerRolluik!$E$13,Pantser!F$1:L$49,ROW(A36),TRUE)),"")</f>
        <v/>
      </c>
    </row>
  </sheetData>
  <mergeCells count="1">
    <mergeCell ref="F31:L3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</vt:i4>
      </vt:variant>
    </vt:vector>
  </HeadingPairs>
  <TitlesOfParts>
    <vt:vector size="7" baseType="lpstr">
      <vt:lpstr>InvoerRolluik</vt:lpstr>
      <vt:lpstr>Bron</vt:lpstr>
      <vt:lpstr>kastmaat</vt:lpstr>
      <vt:lpstr>geleiders</vt:lpstr>
      <vt:lpstr>Pantser</vt:lpstr>
      <vt:lpstr>kastvorm</vt:lpstr>
      <vt:lpstr>InvoerRolluik!Afdrukbereik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Gerwin Vis</dc:creator>
  <cp:lastModifiedBy>BKfix</cp:lastModifiedBy>
  <cp:lastPrinted>2021-10-20T13:52:42Z</cp:lastPrinted>
  <dcterms:created xsi:type="dcterms:W3CDTF">2018-09-17T12:22:30Z</dcterms:created>
  <dcterms:modified xsi:type="dcterms:W3CDTF">2024-04-03T06:51:13Z</dcterms:modified>
</cp:coreProperties>
</file>